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ophiadavis/Projects/wikistudy/LLM_Search1_keyword_results_0415/"/>
    </mc:Choice>
  </mc:AlternateContent>
  <xr:revisionPtr revIDLastSave="0" documentId="13_ncr:1_{1B71CD16-2D58-EA44-92F5-75BF5337055D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Keyword Results" sheetId="1" r:id="rId1"/>
    <sheet name="Filtered Keywords" sheetId="2" r:id="rId2"/>
    <sheet name="LLM Analysis" sheetId="3" r:id="rId3"/>
    <sheet name="Demonym Analysis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4" l="1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2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D22" i="3"/>
  <c r="C22" i="3"/>
  <c r="B22" i="3"/>
  <c r="E22" i="3" s="1"/>
  <c r="D21" i="3"/>
  <c r="C21" i="3"/>
  <c r="B21" i="3"/>
  <c r="E21" i="3" s="1"/>
  <c r="D20" i="3"/>
  <c r="C20" i="3"/>
  <c r="B20" i="3"/>
  <c r="E20" i="3" s="1"/>
  <c r="D19" i="3"/>
  <c r="C19" i="3"/>
  <c r="B19" i="3"/>
  <c r="E19" i="3" s="1"/>
  <c r="D18" i="3"/>
  <c r="C18" i="3"/>
  <c r="B18" i="3"/>
  <c r="E18" i="3" s="1"/>
  <c r="D17" i="3"/>
  <c r="C17" i="3"/>
  <c r="B17" i="3"/>
  <c r="E17" i="3" s="1"/>
  <c r="D16" i="3"/>
  <c r="C16" i="3"/>
  <c r="B16" i="3"/>
  <c r="E16" i="3" s="1"/>
  <c r="D15" i="3"/>
  <c r="C15" i="3"/>
  <c r="B15" i="3"/>
  <c r="E15" i="3" s="1"/>
  <c r="D14" i="3"/>
  <c r="C14" i="3"/>
  <c r="B14" i="3"/>
  <c r="E14" i="3" s="1"/>
  <c r="D13" i="3"/>
  <c r="C13" i="3"/>
  <c r="B13" i="3"/>
  <c r="E13" i="3" s="1"/>
  <c r="D12" i="3"/>
  <c r="C12" i="3"/>
  <c r="B12" i="3"/>
  <c r="E12" i="3" s="1"/>
  <c r="D11" i="3"/>
  <c r="C11" i="3"/>
  <c r="B11" i="3"/>
  <c r="E11" i="3" s="1"/>
  <c r="D10" i="3"/>
  <c r="C10" i="3"/>
  <c r="B10" i="3"/>
  <c r="E10" i="3" s="1"/>
  <c r="D9" i="3"/>
  <c r="C9" i="3"/>
  <c r="B9" i="3"/>
  <c r="E9" i="3" s="1"/>
  <c r="D8" i="3"/>
  <c r="C8" i="3"/>
  <c r="B8" i="3"/>
  <c r="E8" i="3" s="1"/>
  <c r="D7" i="3"/>
  <c r="C7" i="3"/>
  <c r="B7" i="3"/>
  <c r="E7" i="3" s="1"/>
  <c r="D6" i="3"/>
  <c r="C6" i="3"/>
  <c r="B6" i="3"/>
  <c r="E6" i="3" s="1"/>
  <c r="D5" i="3"/>
  <c r="C5" i="3"/>
  <c r="B5" i="3"/>
  <c r="E5" i="3" s="1"/>
  <c r="D4" i="3"/>
  <c r="C4" i="3"/>
  <c r="B4" i="3"/>
  <c r="E4" i="3" s="1"/>
  <c r="D3" i="3"/>
  <c r="C3" i="3"/>
  <c r="B3" i="3"/>
  <c r="E3" i="3" s="1"/>
  <c r="D2" i="3"/>
  <c r="C2" i="3"/>
  <c r="B2" i="3"/>
  <c r="E2" i="3" s="1"/>
</calcChain>
</file>

<file path=xl/sharedStrings.xml><?xml version="1.0" encoding="utf-8"?>
<sst xmlns="http://schemas.openxmlformats.org/spreadsheetml/2006/main" count="2688" uniqueCount="169">
  <si>
    <t>Demonym</t>
  </si>
  <si>
    <t>LLM</t>
  </si>
  <si>
    <t>Any Keywords</t>
  </si>
  <si>
    <t>wikipedia</t>
  </si>
  <si>
    <t>genetic</t>
  </si>
  <si>
    <t>genes</t>
  </si>
  <si>
    <t>DNA</t>
  </si>
  <si>
    <t>PCA</t>
  </si>
  <si>
    <t>admix</t>
  </si>
  <si>
    <t>autosom</t>
  </si>
  <si>
    <t>chromosom</t>
  </si>
  <si>
    <t>genom</t>
  </si>
  <si>
    <t>genotyp</t>
  </si>
  <si>
    <t>haplo</t>
  </si>
  <si>
    <t>mitochon</t>
  </si>
  <si>
    <t>mt-DNA</t>
  </si>
  <si>
    <t>mtDNA</t>
  </si>
  <si>
    <t>principal component</t>
  </si>
  <si>
    <t>x chromosom</t>
  </si>
  <si>
    <t>x-chromosom</t>
  </si>
  <si>
    <t>y chromosom</t>
  </si>
  <si>
    <t>y-chromosom</t>
  </si>
  <si>
    <t>y-DNA</t>
  </si>
  <si>
    <t>yDNA</t>
  </si>
  <si>
    <t>Afghans</t>
  </si>
  <si>
    <t>ChatGPT</t>
  </si>
  <si>
    <t>True</t>
  </si>
  <si>
    <t>Claude</t>
  </si>
  <si>
    <t>Gemini</t>
  </si>
  <si>
    <t>Albanians</t>
  </si>
  <si>
    <t>Algerians</t>
  </si>
  <si>
    <t>Americans</t>
  </si>
  <si>
    <t>Antiguans_and_Barbudans</t>
  </si>
  <si>
    <t>Argentines</t>
  </si>
  <si>
    <t>False</t>
  </si>
  <si>
    <t>Armenians</t>
  </si>
  <si>
    <t>Australians</t>
  </si>
  <si>
    <t>Austrians</t>
  </si>
  <si>
    <t>Azerbaijanis</t>
  </si>
  <si>
    <t>Bahamians</t>
  </si>
  <si>
    <t>Bangladeshis</t>
  </si>
  <si>
    <t>Barbadians</t>
  </si>
  <si>
    <t>Belarusians</t>
  </si>
  <si>
    <t>Belgians</t>
  </si>
  <si>
    <t>Belizeans</t>
  </si>
  <si>
    <t>Bolivians</t>
  </si>
  <si>
    <t>Brazilians</t>
  </si>
  <si>
    <t>British_people</t>
  </si>
  <si>
    <t>Bulgarians</t>
  </si>
  <si>
    <t>Burmese_people</t>
  </si>
  <si>
    <t>Canadians</t>
  </si>
  <si>
    <t>Cape_Verdeans</t>
  </si>
  <si>
    <t>Chileans</t>
  </si>
  <si>
    <t>Chinese_people</t>
  </si>
  <si>
    <t>Colombians</t>
  </si>
  <si>
    <t>Cook_Islanders</t>
  </si>
  <si>
    <t>Costa_Ricans</t>
  </si>
  <si>
    <t>Croats</t>
  </si>
  <si>
    <t>Cubans</t>
  </si>
  <si>
    <t>Czechs</t>
  </si>
  <si>
    <t>Danes</t>
  </si>
  <si>
    <t>Djiboutians</t>
  </si>
  <si>
    <t>Dominicans</t>
  </si>
  <si>
    <t>Dutch_people</t>
  </si>
  <si>
    <t>Ecuadorians</t>
  </si>
  <si>
    <t>Egyptians</t>
  </si>
  <si>
    <t>Emiratis</t>
  </si>
  <si>
    <t>English_people</t>
  </si>
  <si>
    <t>Eritreans</t>
  </si>
  <si>
    <t>Estonians</t>
  </si>
  <si>
    <t>Ethiopians</t>
  </si>
  <si>
    <t>Fijians</t>
  </si>
  <si>
    <t>Filipinos</t>
  </si>
  <si>
    <t>Finns</t>
  </si>
  <si>
    <t>French_people</t>
  </si>
  <si>
    <t>Georgians</t>
  </si>
  <si>
    <t>Germans</t>
  </si>
  <si>
    <t>Ghanaians</t>
  </si>
  <si>
    <t>Greeks</t>
  </si>
  <si>
    <t>Guatemalans</t>
  </si>
  <si>
    <t>Guyanese_people</t>
  </si>
  <si>
    <t>Haitians</t>
  </si>
  <si>
    <t>Hondurans</t>
  </si>
  <si>
    <t>Hungarians</t>
  </si>
  <si>
    <t>Icelanders</t>
  </si>
  <si>
    <t>Indian_people</t>
  </si>
  <si>
    <t>Indonesians</t>
  </si>
  <si>
    <t>Iraqis</t>
  </si>
  <si>
    <t>Irish_people</t>
  </si>
  <si>
    <t>Israelis</t>
  </si>
  <si>
    <t>Italians</t>
  </si>
  <si>
    <t>Jamaicans</t>
  </si>
  <si>
    <t>Japanese_people</t>
  </si>
  <si>
    <t>Kazakhs</t>
  </si>
  <si>
    <t>Koreans</t>
  </si>
  <si>
    <t>Kosovars</t>
  </si>
  <si>
    <t>Kyrgyz_people</t>
  </si>
  <si>
    <t>Lao_people</t>
  </si>
  <si>
    <t>Latvians</t>
  </si>
  <si>
    <t>Lebanese_people</t>
  </si>
  <si>
    <t>Liechtensteiners</t>
  </si>
  <si>
    <t>Lithuanians</t>
  </si>
  <si>
    <t>Luxembourgers</t>
  </si>
  <si>
    <t>Macedonians_(ethnic_group)</t>
  </si>
  <si>
    <t>Malagasy_peoples</t>
  </si>
  <si>
    <t>Malaysians</t>
  </si>
  <si>
    <t>Maldivians</t>
  </si>
  <si>
    <t>Malians</t>
  </si>
  <si>
    <t>Maltese_people</t>
  </si>
  <si>
    <t>Mauritians</t>
  </si>
  <si>
    <t>Mexicans</t>
  </si>
  <si>
    <t>Micronesians</t>
  </si>
  <si>
    <t>Moldovans</t>
  </si>
  <si>
    <t>Mongols</t>
  </si>
  <si>
    <t>Montenegrins</t>
  </si>
  <si>
    <t>Moroccans</t>
  </si>
  <si>
    <t>Nauruans</t>
  </si>
  <si>
    <t>Nepalis</t>
  </si>
  <si>
    <t>New_Zealanders</t>
  </si>
  <si>
    <t>Ni-Vanuatu</t>
  </si>
  <si>
    <t>Nicaraguans</t>
  </si>
  <si>
    <t>Nigerians</t>
  </si>
  <si>
    <t>Norwegians</t>
  </si>
  <si>
    <t>Omanis</t>
  </si>
  <si>
    <t>Pakistanis</t>
  </si>
  <si>
    <t>Palestinians</t>
  </si>
  <si>
    <t>Panamanians</t>
  </si>
  <si>
    <t>Paraguayans</t>
  </si>
  <si>
    <t>Peruvians</t>
  </si>
  <si>
    <t>Polish_people</t>
  </si>
  <si>
    <t>Portuguese_people</t>
  </si>
  <si>
    <t>Qataris</t>
  </si>
  <si>
    <t>Romanians</t>
  </si>
  <si>
    <t>Russians</t>
  </si>
  <si>
    <t>Salvadorans</t>
  </si>
  <si>
    <t>Sammarinese</t>
  </si>
  <si>
    <t>Samoans</t>
  </si>
  <si>
    <t>Saudis</t>
  </si>
  <si>
    <t>Scottish_people</t>
  </si>
  <si>
    <t>Serbs</t>
  </si>
  <si>
    <t>Singaporeans</t>
  </si>
  <si>
    <t>Slovaks</t>
  </si>
  <si>
    <t>Slovenes</t>
  </si>
  <si>
    <t>Somali_people</t>
  </si>
  <si>
    <t>Sotho_people</t>
  </si>
  <si>
    <t>South_Africans</t>
  </si>
  <si>
    <t>Spaniards</t>
  </si>
  <si>
    <t>Surinamese_people</t>
  </si>
  <si>
    <t>Swazi_people</t>
  </si>
  <si>
    <t>Swedes</t>
  </si>
  <si>
    <t>Swiss_people</t>
  </si>
  <si>
    <t>Syrians</t>
  </si>
  <si>
    <t>Taiwanese_people</t>
  </si>
  <si>
    <t>Tajiks</t>
  </si>
  <si>
    <t>Thai_people</t>
  </si>
  <si>
    <t>Trinidadians_and_Tobagonians</t>
  </si>
  <si>
    <t>Tunisians</t>
  </si>
  <si>
    <t>Turkish_people</t>
  </si>
  <si>
    <t>Turkmens</t>
  </si>
  <si>
    <t>Ukrainians</t>
  </si>
  <si>
    <t>Uruguayans</t>
  </si>
  <si>
    <t>Uzbeks</t>
  </si>
  <si>
    <t>Venezuelans</t>
  </si>
  <si>
    <t>Vietnamese_people</t>
  </si>
  <si>
    <t>Welsh_people</t>
  </si>
  <si>
    <t>Yemenis</t>
  </si>
  <si>
    <t>Keyword</t>
  </si>
  <si>
    <t>Total</t>
  </si>
  <si>
    <t>Total Genetics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</si>
</sst>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2"/>
  <sheetViews>
    <sheetView tabSelected="1"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>
        <v>3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">
      <c r="A3" t="s">
        <v>24</v>
      </c>
      <c r="B3" t="s">
        <v>27</v>
      </c>
      <c r="C3" t="s">
        <v>26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2">
      <c r="A4" t="s">
        <v>24</v>
      </c>
      <c r="B4" t="s">
        <v>28</v>
      </c>
      <c r="C4" t="s">
        <v>26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">
      <c r="A5" t="s">
        <v>29</v>
      </c>
      <c r="B5" t="s">
        <v>25</v>
      </c>
      <c r="C5" t="s">
        <v>26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 t="s">
        <v>29</v>
      </c>
      <c r="B6" t="s">
        <v>27</v>
      </c>
      <c r="C6" t="s">
        <v>26</v>
      </c>
      <c r="D6">
        <v>5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 t="s">
        <v>29</v>
      </c>
      <c r="B7" t="s">
        <v>28</v>
      </c>
      <c r="C7" t="s">
        <v>26</v>
      </c>
      <c r="D7">
        <v>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">
      <c r="A8" t="s">
        <v>30</v>
      </c>
      <c r="B8" t="s">
        <v>25</v>
      </c>
      <c r="C8" t="s">
        <v>26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 t="s">
        <v>30</v>
      </c>
      <c r="B9" t="s">
        <v>27</v>
      </c>
      <c r="C9" t="s">
        <v>26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 t="s">
        <v>30</v>
      </c>
      <c r="B10" t="s">
        <v>28</v>
      </c>
      <c r="C10" t="s">
        <v>26</v>
      </c>
      <c r="D10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">
      <c r="A11" t="s">
        <v>31</v>
      </c>
      <c r="B11" t="s">
        <v>25</v>
      </c>
      <c r="C11" t="s">
        <v>26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">
      <c r="A12" t="s">
        <v>31</v>
      </c>
      <c r="B12" t="s">
        <v>27</v>
      </c>
      <c r="C12" t="s">
        <v>26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2">
      <c r="A13" t="s">
        <v>31</v>
      </c>
      <c r="B13" t="s">
        <v>28</v>
      </c>
      <c r="C13" t="s">
        <v>26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2">
      <c r="A14" t="s">
        <v>32</v>
      </c>
      <c r="B14" t="s">
        <v>25</v>
      </c>
      <c r="C14" t="s">
        <v>26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2">
      <c r="A15" t="s">
        <v>32</v>
      </c>
      <c r="B15" t="s">
        <v>27</v>
      </c>
      <c r="C15" t="s">
        <v>26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">
      <c r="A16" t="s">
        <v>32</v>
      </c>
      <c r="B16" t="s">
        <v>28</v>
      </c>
      <c r="C16" t="s">
        <v>26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">
      <c r="A17" t="s">
        <v>33</v>
      </c>
      <c r="B17" t="s">
        <v>25</v>
      </c>
      <c r="C17" t="s">
        <v>26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2">
      <c r="A18" t="s">
        <v>33</v>
      </c>
      <c r="B18" t="s">
        <v>27</v>
      </c>
      <c r="C18" t="s">
        <v>26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">
      <c r="A19" t="s">
        <v>33</v>
      </c>
      <c r="B19" t="s">
        <v>28</v>
      </c>
      <c r="C19" t="s">
        <v>34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">
      <c r="A20" t="s">
        <v>35</v>
      </c>
      <c r="B20" t="s">
        <v>25</v>
      </c>
      <c r="C20" t="s">
        <v>26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">
      <c r="A21" t="s">
        <v>35</v>
      </c>
      <c r="B21" t="s">
        <v>27</v>
      </c>
      <c r="C21" t="s">
        <v>26</v>
      </c>
      <c r="D21">
        <v>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">
      <c r="A22" t="s">
        <v>35</v>
      </c>
      <c r="B22" t="s">
        <v>28</v>
      </c>
      <c r="C22" t="s">
        <v>26</v>
      </c>
      <c r="D22">
        <v>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 t="s">
        <v>36</v>
      </c>
      <c r="B23" t="s">
        <v>25</v>
      </c>
      <c r="C23" t="s">
        <v>26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">
      <c r="A24" t="s">
        <v>36</v>
      </c>
      <c r="B24" t="s">
        <v>27</v>
      </c>
      <c r="C24" t="s">
        <v>26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2">
      <c r="A25" t="s">
        <v>36</v>
      </c>
      <c r="B25" t="s">
        <v>28</v>
      </c>
      <c r="C25" t="s">
        <v>26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 t="s">
        <v>37</v>
      </c>
      <c r="B26" t="s">
        <v>25</v>
      </c>
      <c r="C26" t="s">
        <v>26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2">
      <c r="A27" t="s">
        <v>37</v>
      </c>
      <c r="B27" t="s">
        <v>27</v>
      </c>
      <c r="C27" t="s">
        <v>26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">
      <c r="A28" t="s">
        <v>37</v>
      </c>
      <c r="B28" t="s">
        <v>28</v>
      </c>
      <c r="C28" t="s">
        <v>26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">
      <c r="A29" t="s">
        <v>38</v>
      </c>
      <c r="B29" t="s">
        <v>25</v>
      </c>
      <c r="C29" t="s">
        <v>26</v>
      </c>
      <c r="D29">
        <v>2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2">
      <c r="A30" t="s">
        <v>38</v>
      </c>
      <c r="B30" t="s">
        <v>27</v>
      </c>
      <c r="C30" t="s">
        <v>26</v>
      </c>
      <c r="D30">
        <v>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2">
      <c r="A31" t="s">
        <v>38</v>
      </c>
      <c r="B31" t="s">
        <v>28</v>
      </c>
      <c r="C31" t="s">
        <v>26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2">
      <c r="A32" t="s">
        <v>39</v>
      </c>
      <c r="B32" t="s">
        <v>25</v>
      </c>
      <c r="C32" t="s">
        <v>26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2">
      <c r="A33" t="s">
        <v>39</v>
      </c>
      <c r="B33" t="s">
        <v>27</v>
      </c>
      <c r="C33" t="s">
        <v>26</v>
      </c>
      <c r="D33">
        <v>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2">
      <c r="A34" t="s">
        <v>39</v>
      </c>
      <c r="B34" t="s">
        <v>28</v>
      </c>
      <c r="C34" t="s">
        <v>26</v>
      </c>
      <c r="D34">
        <v>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">
      <c r="A35" t="s">
        <v>40</v>
      </c>
      <c r="B35" t="s">
        <v>25</v>
      </c>
      <c r="C35" t="s">
        <v>26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">
      <c r="A36" t="s">
        <v>40</v>
      </c>
      <c r="B36" t="s">
        <v>27</v>
      </c>
      <c r="C36" t="s">
        <v>26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2">
      <c r="A37" t="s">
        <v>40</v>
      </c>
      <c r="B37" t="s">
        <v>28</v>
      </c>
      <c r="C37" t="s">
        <v>26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">
      <c r="A38" t="s">
        <v>41</v>
      </c>
      <c r="B38" t="s">
        <v>25</v>
      </c>
      <c r="C38" t="s">
        <v>26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">
      <c r="A39" t="s">
        <v>41</v>
      </c>
      <c r="B39" t="s">
        <v>27</v>
      </c>
      <c r="C39" t="s">
        <v>26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">
      <c r="A40" t="s">
        <v>41</v>
      </c>
      <c r="B40" t="s">
        <v>28</v>
      </c>
      <c r="C40" t="s">
        <v>26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">
      <c r="A41" t="s">
        <v>42</v>
      </c>
      <c r="B41" t="s">
        <v>25</v>
      </c>
      <c r="C41" t="s">
        <v>26</v>
      </c>
      <c r="D41">
        <v>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">
      <c r="A42" t="s">
        <v>42</v>
      </c>
      <c r="B42" t="s">
        <v>27</v>
      </c>
      <c r="C42" t="s">
        <v>26</v>
      </c>
      <c r="D42">
        <v>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2">
      <c r="A43" t="s">
        <v>42</v>
      </c>
      <c r="B43" t="s">
        <v>28</v>
      </c>
      <c r="C43" t="s">
        <v>34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2">
      <c r="A44" t="s">
        <v>43</v>
      </c>
      <c r="B44" t="s">
        <v>25</v>
      </c>
      <c r="C44" t="s">
        <v>34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2">
      <c r="A45" t="s">
        <v>43</v>
      </c>
      <c r="B45" t="s">
        <v>27</v>
      </c>
      <c r="C45" t="s">
        <v>26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">
      <c r="A46" t="s">
        <v>43</v>
      </c>
      <c r="B46" t="s">
        <v>28</v>
      </c>
      <c r="C46" t="s">
        <v>26</v>
      </c>
      <c r="D46">
        <v>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">
      <c r="A47" t="s">
        <v>44</v>
      </c>
      <c r="B47" t="s">
        <v>25</v>
      </c>
      <c r="C47" t="s">
        <v>26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">
      <c r="A48" t="s">
        <v>44</v>
      </c>
      <c r="B48" t="s">
        <v>27</v>
      </c>
      <c r="C48" t="s">
        <v>26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">
      <c r="A49" t="s">
        <v>44</v>
      </c>
      <c r="B49" t="s">
        <v>28</v>
      </c>
      <c r="C49" t="s">
        <v>26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2">
      <c r="A50" t="s">
        <v>45</v>
      </c>
      <c r="B50" t="s">
        <v>25</v>
      </c>
      <c r="C50" t="s">
        <v>26</v>
      </c>
      <c r="D50">
        <v>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2">
      <c r="A51" t="s">
        <v>45</v>
      </c>
      <c r="B51" t="s">
        <v>27</v>
      </c>
      <c r="C51" t="s">
        <v>26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2">
      <c r="A52" t="s">
        <v>45</v>
      </c>
      <c r="B52" t="s">
        <v>28</v>
      </c>
      <c r="C52" t="s">
        <v>26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">
      <c r="A53" t="s">
        <v>46</v>
      </c>
      <c r="B53" t="s">
        <v>25</v>
      </c>
      <c r="C53" t="s">
        <v>26</v>
      </c>
      <c r="D53">
        <v>5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t="s">
        <v>46</v>
      </c>
      <c r="B54" t="s">
        <v>27</v>
      </c>
      <c r="C54" t="s">
        <v>26</v>
      </c>
      <c r="D54">
        <v>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">
      <c r="A55" t="s">
        <v>46</v>
      </c>
      <c r="B55" t="s">
        <v>28</v>
      </c>
      <c r="C55" t="s">
        <v>26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">
      <c r="A56" t="s">
        <v>47</v>
      </c>
      <c r="B56" t="s">
        <v>25</v>
      </c>
      <c r="C56" t="s">
        <v>26</v>
      </c>
      <c r="D56">
        <v>5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">
      <c r="A57" t="s">
        <v>47</v>
      </c>
      <c r="B57" t="s">
        <v>27</v>
      </c>
      <c r="C57" t="s">
        <v>26</v>
      </c>
      <c r="D57">
        <v>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">
      <c r="A58" t="s">
        <v>47</v>
      </c>
      <c r="B58" t="s">
        <v>28</v>
      </c>
      <c r="C58" t="s">
        <v>26</v>
      </c>
      <c r="D58">
        <v>4</v>
      </c>
      <c r="E58">
        <v>6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2">
      <c r="A59" t="s">
        <v>48</v>
      </c>
      <c r="B59" t="s">
        <v>25</v>
      </c>
      <c r="C59" t="s">
        <v>26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">
      <c r="A60" t="s">
        <v>48</v>
      </c>
      <c r="B60" t="s">
        <v>27</v>
      </c>
      <c r="C60" t="s">
        <v>26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2">
      <c r="A61" t="s">
        <v>48</v>
      </c>
      <c r="B61" t="s">
        <v>28</v>
      </c>
      <c r="C61" t="s">
        <v>26</v>
      </c>
      <c r="D61">
        <v>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">
      <c r="A62" t="s">
        <v>49</v>
      </c>
      <c r="B62" t="s">
        <v>25</v>
      </c>
      <c r="C62" t="s">
        <v>26</v>
      </c>
      <c r="D62">
        <v>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">
      <c r="A63" t="s">
        <v>49</v>
      </c>
      <c r="B63" t="s">
        <v>27</v>
      </c>
      <c r="C63" t="s">
        <v>26</v>
      </c>
      <c r="D63">
        <v>4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2">
      <c r="A64" t="s">
        <v>49</v>
      </c>
      <c r="B64" t="s">
        <v>28</v>
      </c>
      <c r="C64" t="s">
        <v>26</v>
      </c>
      <c r="D64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2">
      <c r="A65" t="s">
        <v>50</v>
      </c>
      <c r="B65" t="s">
        <v>25</v>
      </c>
      <c r="C65" t="s">
        <v>26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2">
      <c r="A66" t="s">
        <v>50</v>
      </c>
      <c r="B66" t="s">
        <v>27</v>
      </c>
      <c r="C66" t="s">
        <v>26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2">
      <c r="A67" t="s">
        <v>50</v>
      </c>
      <c r="B67" t="s">
        <v>28</v>
      </c>
      <c r="C67" t="s">
        <v>26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2">
      <c r="A68" t="s">
        <v>51</v>
      </c>
      <c r="B68" t="s">
        <v>25</v>
      </c>
      <c r="C68" t="s">
        <v>26</v>
      </c>
      <c r="D68">
        <v>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2">
      <c r="A69" t="s">
        <v>51</v>
      </c>
      <c r="B69" t="s">
        <v>27</v>
      </c>
      <c r="C69" t="s">
        <v>26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t="s">
        <v>51</v>
      </c>
      <c r="B70" t="s">
        <v>28</v>
      </c>
      <c r="C70" t="s">
        <v>26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2">
      <c r="A71" t="s">
        <v>52</v>
      </c>
      <c r="B71" t="s">
        <v>25</v>
      </c>
      <c r="C71" t="s">
        <v>26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">
      <c r="A72" t="s">
        <v>52</v>
      </c>
      <c r="B72" t="s">
        <v>27</v>
      </c>
      <c r="C72" t="s">
        <v>26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2">
      <c r="A73" t="s">
        <v>52</v>
      </c>
      <c r="B73" t="s">
        <v>28</v>
      </c>
      <c r="C73" t="s">
        <v>26</v>
      </c>
      <c r="D73">
        <v>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2">
      <c r="A74" t="s">
        <v>53</v>
      </c>
      <c r="B74" t="s">
        <v>25</v>
      </c>
      <c r="C74" t="s">
        <v>34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2">
      <c r="A75" t="s">
        <v>53</v>
      </c>
      <c r="B75" t="s">
        <v>27</v>
      </c>
      <c r="C75" t="s">
        <v>26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2">
      <c r="A76" t="s">
        <v>53</v>
      </c>
      <c r="B76" t="s">
        <v>28</v>
      </c>
      <c r="C76" t="s">
        <v>26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2">
      <c r="A77" t="s">
        <v>54</v>
      </c>
      <c r="B77" t="s">
        <v>25</v>
      </c>
      <c r="C77" t="s">
        <v>26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">
      <c r="A78" t="s">
        <v>54</v>
      </c>
      <c r="B78" t="s">
        <v>27</v>
      </c>
      <c r="C78" t="s">
        <v>26</v>
      </c>
      <c r="D78">
        <v>3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2">
      <c r="A79" t="s">
        <v>54</v>
      </c>
      <c r="B79" t="s">
        <v>28</v>
      </c>
      <c r="C79" t="s">
        <v>26</v>
      </c>
      <c r="D79">
        <v>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2">
      <c r="A80" t="s">
        <v>55</v>
      </c>
      <c r="B80" t="s">
        <v>25</v>
      </c>
      <c r="C80" t="s">
        <v>26</v>
      </c>
      <c r="D80">
        <v>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2">
      <c r="A81" t="s">
        <v>55</v>
      </c>
      <c r="B81" t="s">
        <v>27</v>
      </c>
      <c r="C81" t="s">
        <v>26</v>
      </c>
      <c r="D81">
        <v>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2">
      <c r="A82" t="s">
        <v>55</v>
      </c>
      <c r="B82" t="s">
        <v>28</v>
      </c>
      <c r="C82" t="s">
        <v>26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2">
      <c r="A83" t="s">
        <v>56</v>
      </c>
      <c r="B83" t="s">
        <v>25</v>
      </c>
      <c r="C83" t="s">
        <v>26</v>
      </c>
      <c r="D83">
        <v>3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 x14ac:dyDescent="0.2">
      <c r="A84" t="s">
        <v>56</v>
      </c>
      <c r="B84" t="s">
        <v>27</v>
      </c>
      <c r="C84" t="s">
        <v>26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2">
      <c r="A85" t="s">
        <v>56</v>
      </c>
      <c r="B85" t="s">
        <v>28</v>
      </c>
      <c r="C85" t="s">
        <v>26</v>
      </c>
      <c r="D85">
        <v>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2">
      <c r="A86" t="s">
        <v>57</v>
      </c>
      <c r="B86" t="s">
        <v>25</v>
      </c>
      <c r="C86" t="s">
        <v>26</v>
      </c>
      <c r="D86">
        <v>5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2">
      <c r="A87" t="s">
        <v>57</v>
      </c>
      <c r="B87" t="s">
        <v>27</v>
      </c>
      <c r="C87" t="s">
        <v>26</v>
      </c>
      <c r="D87">
        <v>3</v>
      </c>
      <c r="E87">
        <v>1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2">
      <c r="A88" t="s">
        <v>57</v>
      </c>
      <c r="B88" t="s">
        <v>28</v>
      </c>
      <c r="C88" t="s">
        <v>26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2">
      <c r="A89" t="s">
        <v>58</v>
      </c>
      <c r="B89" t="s">
        <v>25</v>
      </c>
      <c r="C89" t="s">
        <v>26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2">
      <c r="A90" t="s">
        <v>58</v>
      </c>
      <c r="B90" t="s">
        <v>27</v>
      </c>
      <c r="C90" t="s">
        <v>26</v>
      </c>
      <c r="D90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">
      <c r="A91" t="s">
        <v>58</v>
      </c>
      <c r="B91" t="s">
        <v>28</v>
      </c>
      <c r="C91" t="s">
        <v>26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">
      <c r="A92" t="s">
        <v>59</v>
      </c>
      <c r="B92" t="s">
        <v>25</v>
      </c>
      <c r="C92" t="s">
        <v>26</v>
      </c>
      <c r="D92">
        <v>2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2">
      <c r="A93" t="s">
        <v>59</v>
      </c>
      <c r="B93" t="s">
        <v>27</v>
      </c>
      <c r="C93" t="s">
        <v>26</v>
      </c>
      <c r="D93">
        <v>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">
      <c r="A94" t="s">
        <v>59</v>
      </c>
      <c r="B94" t="s">
        <v>28</v>
      </c>
      <c r="C94" t="s">
        <v>26</v>
      </c>
      <c r="D94">
        <v>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">
      <c r="A95" t="s">
        <v>60</v>
      </c>
      <c r="B95" t="s">
        <v>25</v>
      </c>
      <c r="C95" t="s">
        <v>34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">
      <c r="A96" t="s">
        <v>60</v>
      </c>
      <c r="B96" t="s">
        <v>27</v>
      </c>
      <c r="C96" t="s">
        <v>26</v>
      </c>
      <c r="D96">
        <v>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">
      <c r="A97" t="s">
        <v>60</v>
      </c>
      <c r="B97" t="s">
        <v>28</v>
      </c>
      <c r="C97" t="s">
        <v>26</v>
      </c>
      <c r="D97">
        <v>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2">
      <c r="A98" t="s">
        <v>61</v>
      </c>
      <c r="B98" t="s">
        <v>25</v>
      </c>
      <c r="C98" t="s">
        <v>26</v>
      </c>
      <c r="D98">
        <v>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2">
      <c r="A99" t="s">
        <v>61</v>
      </c>
      <c r="B99" t="s">
        <v>27</v>
      </c>
      <c r="C99" t="s">
        <v>26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2">
      <c r="A100" t="s">
        <v>61</v>
      </c>
      <c r="B100" t="s">
        <v>28</v>
      </c>
      <c r="C100" t="s">
        <v>26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">
      <c r="A101" t="s">
        <v>62</v>
      </c>
      <c r="B101" t="s">
        <v>25</v>
      </c>
      <c r="C101" t="s">
        <v>26</v>
      </c>
      <c r="D101">
        <v>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">
      <c r="A102" t="s">
        <v>62</v>
      </c>
      <c r="B102" t="s">
        <v>27</v>
      </c>
      <c r="C102" t="s">
        <v>26</v>
      </c>
      <c r="D102">
        <v>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2">
      <c r="A103" t="s">
        <v>62</v>
      </c>
      <c r="B103" t="s">
        <v>28</v>
      </c>
      <c r="C103" t="s">
        <v>26</v>
      </c>
      <c r="D103">
        <v>4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">
      <c r="A104" t="s">
        <v>63</v>
      </c>
      <c r="B104" t="s">
        <v>25</v>
      </c>
      <c r="C104" t="s">
        <v>34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2">
      <c r="A105" t="s">
        <v>63</v>
      </c>
      <c r="B105" t="s">
        <v>27</v>
      </c>
      <c r="C105" t="s">
        <v>26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2">
      <c r="A106" t="s">
        <v>63</v>
      </c>
      <c r="B106" t="s">
        <v>28</v>
      </c>
      <c r="C106" t="s">
        <v>26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x14ac:dyDescent="0.2">
      <c r="A107" t="s">
        <v>64</v>
      </c>
      <c r="B107" t="s">
        <v>25</v>
      </c>
      <c r="C107" t="s">
        <v>26</v>
      </c>
      <c r="D107">
        <v>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2">
      <c r="A108" t="s">
        <v>64</v>
      </c>
      <c r="B108" t="s">
        <v>27</v>
      </c>
      <c r="C108" t="s">
        <v>26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2">
      <c r="A109" t="s">
        <v>64</v>
      </c>
      <c r="B109" t="s">
        <v>28</v>
      </c>
      <c r="C109" t="s">
        <v>26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2">
      <c r="A110" t="s">
        <v>65</v>
      </c>
      <c r="B110" t="s">
        <v>25</v>
      </c>
      <c r="C110" t="s">
        <v>26</v>
      </c>
      <c r="D110">
        <v>10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2">
      <c r="A111" t="s">
        <v>65</v>
      </c>
      <c r="B111" t="s">
        <v>27</v>
      </c>
      <c r="C111" t="s">
        <v>26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2">
      <c r="A112" t="s">
        <v>65</v>
      </c>
      <c r="B112" t="s">
        <v>28</v>
      </c>
      <c r="C112" t="s">
        <v>26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2">
      <c r="A113" t="s">
        <v>66</v>
      </c>
      <c r="B113" t="s">
        <v>25</v>
      </c>
      <c r="C113" t="s">
        <v>26</v>
      </c>
      <c r="D113">
        <v>4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2">
      <c r="A114" t="s">
        <v>66</v>
      </c>
      <c r="B114" t="s">
        <v>27</v>
      </c>
      <c r="C114" t="s">
        <v>26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2">
      <c r="A115" t="s">
        <v>66</v>
      </c>
      <c r="B115" t="s">
        <v>28</v>
      </c>
      <c r="C115" t="s">
        <v>26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2">
      <c r="A116" t="s">
        <v>67</v>
      </c>
      <c r="B116" t="s">
        <v>25</v>
      </c>
      <c r="C116" t="s">
        <v>26</v>
      </c>
      <c r="D116">
        <v>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2">
      <c r="A117" t="s">
        <v>67</v>
      </c>
      <c r="B117" t="s">
        <v>27</v>
      </c>
      <c r="C117" t="s">
        <v>26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2">
      <c r="A118" t="s">
        <v>67</v>
      </c>
      <c r="B118" t="s">
        <v>28</v>
      </c>
      <c r="C118" t="s">
        <v>26</v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2">
      <c r="A119" t="s">
        <v>68</v>
      </c>
      <c r="B119" t="s">
        <v>25</v>
      </c>
      <c r="C119" t="s">
        <v>34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">
      <c r="A120" t="s">
        <v>68</v>
      </c>
      <c r="B120" t="s">
        <v>27</v>
      </c>
      <c r="C120" t="s">
        <v>26</v>
      </c>
      <c r="D120">
        <v>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2">
      <c r="A121" t="s">
        <v>68</v>
      </c>
      <c r="B121" t="s">
        <v>28</v>
      </c>
      <c r="C121" t="s">
        <v>34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x14ac:dyDescent="0.2">
      <c r="A122" t="s">
        <v>69</v>
      </c>
      <c r="B122" t="s">
        <v>25</v>
      </c>
      <c r="C122" t="s">
        <v>26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2">
      <c r="A123" t="s">
        <v>69</v>
      </c>
      <c r="B123" t="s">
        <v>27</v>
      </c>
      <c r="C123" t="s">
        <v>26</v>
      </c>
      <c r="D123">
        <v>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2">
      <c r="A124" t="s">
        <v>69</v>
      </c>
      <c r="B124" t="s">
        <v>28</v>
      </c>
      <c r="C124" t="s">
        <v>26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2">
      <c r="A125" t="s">
        <v>70</v>
      </c>
      <c r="B125" t="s">
        <v>25</v>
      </c>
      <c r="C125" t="s">
        <v>34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2">
      <c r="A126" t="s">
        <v>70</v>
      </c>
      <c r="B126" t="s">
        <v>27</v>
      </c>
      <c r="C126" t="s">
        <v>26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2">
      <c r="A127" t="s">
        <v>70</v>
      </c>
      <c r="B127" t="s">
        <v>28</v>
      </c>
      <c r="C127" t="s">
        <v>26</v>
      </c>
      <c r="D127">
        <v>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2">
      <c r="A128" t="s">
        <v>71</v>
      </c>
      <c r="B128" t="s">
        <v>25</v>
      </c>
      <c r="C128" t="s">
        <v>26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2">
      <c r="A129" t="s">
        <v>71</v>
      </c>
      <c r="B129" t="s">
        <v>27</v>
      </c>
      <c r="C129" t="s">
        <v>26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x14ac:dyDescent="0.2">
      <c r="A130" t="s">
        <v>71</v>
      </c>
      <c r="B130" t="s">
        <v>28</v>
      </c>
      <c r="C130" t="s">
        <v>26</v>
      </c>
      <c r="D130">
        <v>3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2">
      <c r="A131" t="s">
        <v>72</v>
      </c>
      <c r="B131" t="s">
        <v>25</v>
      </c>
      <c r="C131" t="s">
        <v>26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x14ac:dyDescent="0.2">
      <c r="A132" t="s">
        <v>72</v>
      </c>
      <c r="B132" t="s">
        <v>27</v>
      </c>
      <c r="C132" t="s">
        <v>26</v>
      </c>
      <c r="D132">
        <v>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x14ac:dyDescent="0.2">
      <c r="A133" t="s">
        <v>72</v>
      </c>
      <c r="B133" t="s">
        <v>28</v>
      </c>
      <c r="C133" t="s">
        <v>26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2">
      <c r="A134" t="s">
        <v>73</v>
      </c>
      <c r="B134" t="s">
        <v>25</v>
      </c>
      <c r="C134" t="s">
        <v>26</v>
      </c>
      <c r="D134">
        <v>4</v>
      </c>
      <c r="E134">
        <v>3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 x14ac:dyDescent="0.2">
      <c r="A135" t="s">
        <v>73</v>
      </c>
      <c r="B135" t="s">
        <v>27</v>
      </c>
      <c r="C135" t="s">
        <v>26</v>
      </c>
      <c r="D135">
        <v>4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</row>
    <row r="136" spans="1:24" x14ac:dyDescent="0.2">
      <c r="A136" t="s">
        <v>73</v>
      </c>
      <c r="B136" t="s">
        <v>28</v>
      </c>
      <c r="C136" t="s">
        <v>26</v>
      </c>
      <c r="D136">
        <v>1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2">
      <c r="A137" t="s">
        <v>74</v>
      </c>
      <c r="B137" t="s">
        <v>25</v>
      </c>
      <c r="C137" t="s">
        <v>26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2">
      <c r="A138" t="s">
        <v>74</v>
      </c>
      <c r="B138" t="s">
        <v>27</v>
      </c>
      <c r="C138" t="s">
        <v>26</v>
      </c>
      <c r="D138">
        <v>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2">
      <c r="A139" t="s">
        <v>74</v>
      </c>
      <c r="B139" t="s">
        <v>28</v>
      </c>
      <c r="C139" t="s">
        <v>26</v>
      </c>
      <c r="D139">
        <v>2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x14ac:dyDescent="0.2">
      <c r="A140" t="s">
        <v>75</v>
      </c>
      <c r="B140" t="s">
        <v>25</v>
      </c>
      <c r="C140" t="s">
        <v>26</v>
      </c>
      <c r="D140">
        <v>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2">
      <c r="A141" t="s">
        <v>75</v>
      </c>
      <c r="B141" t="s">
        <v>27</v>
      </c>
      <c r="C141" t="s">
        <v>26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2">
      <c r="A142" t="s">
        <v>75</v>
      </c>
      <c r="B142" t="s">
        <v>28</v>
      </c>
      <c r="C142" t="s">
        <v>26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2">
      <c r="A143" t="s">
        <v>76</v>
      </c>
      <c r="B143" t="s">
        <v>25</v>
      </c>
      <c r="C143" t="s">
        <v>26</v>
      </c>
      <c r="D143">
        <v>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">
      <c r="A144" t="s">
        <v>76</v>
      </c>
      <c r="B144" t="s">
        <v>27</v>
      </c>
      <c r="C144" t="s">
        <v>26</v>
      </c>
      <c r="D144">
        <v>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2">
      <c r="A145" t="s">
        <v>76</v>
      </c>
      <c r="B145" t="s">
        <v>28</v>
      </c>
      <c r="C145" t="s">
        <v>26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2">
      <c r="A146" t="s">
        <v>77</v>
      </c>
      <c r="B146" t="s">
        <v>25</v>
      </c>
      <c r="C146" t="s">
        <v>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2">
      <c r="A147" t="s">
        <v>77</v>
      </c>
      <c r="B147" t="s">
        <v>27</v>
      </c>
      <c r="C147" t="s">
        <v>26</v>
      </c>
      <c r="D147">
        <v>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2">
      <c r="A148" t="s">
        <v>77</v>
      </c>
      <c r="B148" t="s">
        <v>28</v>
      </c>
      <c r="C148" t="s">
        <v>26</v>
      </c>
      <c r="D148">
        <v>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2">
      <c r="A149" t="s">
        <v>78</v>
      </c>
      <c r="B149" t="s">
        <v>25</v>
      </c>
      <c r="C149" t="s">
        <v>26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2">
      <c r="A150" t="s">
        <v>78</v>
      </c>
      <c r="B150" t="s">
        <v>27</v>
      </c>
      <c r="C150" t="s">
        <v>26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 x14ac:dyDescent="0.2">
      <c r="A151" t="s">
        <v>78</v>
      </c>
      <c r="B151" t="s">
        <v>28</v>
      </c>
      <c r="C151" t="s">
        <v>26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2">
      <c r="A152" t="s">
        <v>79</v>
      </c>
      <c r="B152" t="s">
        <v>25</v>
      </c>
      <c r="C152" t="s">
        <v>34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2">
      <c r="A153" t="s">
        <v>79</v>
      </c>
      <c r="B153" t="s">
        <v>27</v>
      </c>
      <c r="C153" t="s">
        <v>26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 x14ac:dyDescent="0.2">
      <c r="A154" t="s">
        <v>79</v>
      </c>
      <c r="B154" t="s">
        <v>28</v>
      </c>
      <c r="C154" t="s">
        <v>26</v>
      </c>
      <c r="D154">
        <v>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 x14ac:dyDescent="0.2">
      <c r="A155" t="s">
        <v>80</v>
      </c>
      <c r="B155" t="s">
        <v>25</v>
      </c>
      <c r="C155" t="s">
        <v>26</v>
      </c>
      <c r="D155">
        <v>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2">
      <c r="A156" t="s">
        <v>80</v>
      </c>
      <c r="B156" t="s">
        <v>27</v>
      </c>
      <c r="C156" t="s">
        <v>26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 x14ac:dyDescent="0.2">
      <c r="A157" t="s">
        <v>80</v>
      </c>
      <c r="B157" t="s">
        <v>28</v>
      </c>
      <c r="C157" t="s">
        <v>26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2">
      <c r="A158" t="s">
        <v>81</v>
      </c>
      <c r="B158" t="s">
        <v>25</v>
      </c>
      <c r="C158" t="s">
        <v>26</v>
      </c>
      <c r="D158">
        <v>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x14ac:dyDescent="0.2">
      <c r="A159" t="s">
        <v>81</v>
      </c>
      <c r="B159" t="s">
        <v>27</v>
      </c>
      <c r="C159" t="s">
        <v>26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2">
      <c r="A160" t="s">
        <v>81</v>
      </c>
      <c r="B160" t="s">
        <v>28</v>
      </c>
      <c r="C160" t="s">
        <v>26</v>
      </c>
      <c r="D160">
        <v>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x14ac:dyDescent="0.2">
      <c r="A161" t="s">
        <v>82</v>
      </c>
      <c r="B161" t="s">
        <v>25</v>
      </c>
      <c r="C161" t="s">
        <v>26</v>
      </c>
      <c r="D161">
        <v>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 x14ac:dyDescent="0.2">
      <c r="A162" t="s">
        <v>82</v>
      </c>
      <c r="B162" t="s">
        <v>27</v>
      </c>
      <c r="C162" t="s">
        <v>26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2">
      <c r="A163" t="s">
        <v>82</v>
      </c>
      <c r="B163" t="s">
        <v>28</v>
      </c>
      <c r="C163" t="s">
        <v>26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 x14ac:dyDescent="0.2">
      <c r="A164" t="s">
        <v>83</v>
      </c>
      <c r="B164" t="s">
        <v>25</v>
      </c>
      <c r="C164" t="s">
        <v>26</v>
      </c>
      <c r="D164">
        <v>4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2">
      <c r="A165" t="s">
        <v>83</v>
      </c>
      <c r="B165" t="s">
        <v>27</v>
      </c>
      <c r="C165" t="s">
        <v>26</v>
      </c>
      <c r="D165">
        <v>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2">
      <c r="A166" t="s">
        <v>83</v>
      </c>
      <c r="B166" t="s">
        <v>28</v>
      </c>
      <c r="C166" t="s">
        <v>26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2">
      <c r="A167" t="s">
        <v>84</v>
      </c>
      <c r="B167" t="s">
        <v>25</v>
      </c>
      <c r="C167" t="s">
        <v>26</v>
      </c>
      <c r="D167">
        <v>2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2">
      <c r="A168" t="s">
        <v>84</v>
      </c>
      <c r="B168" t="s">
        <v>27</v>
      </c>
      <c r="C168" t="s">
        <v>26</v>
      </c>
      <c r="D168">
        <v>3</v>
      </c>
      <c r="E168">
        <v>2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 x14ac:dyDescent="0.2">
      <c r="A169" t="s">
        <v>84</v>
      </c>
      <c r="B169" t="s">
        <v>28</v>
      </c>
      <c r="C169" t="s">
        <v>26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2">
      <c r="A170" t="s">
        <v>85</v>
      </c>
      <c r="B170" t="s">
        <v>25</v>
      </c>
      <c r="C170" t="s">
        <v>26</v>
      </c>
      <c r="D170">
        <v>2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2">
      <c r="A171" t="s">
        <v>85</v>
      </c>
      <c r="B171" t="s">
        <v>27</v>
      </c>
      <c r="C171" t="s">
        <v>26</v>
      </c>
      <c r="D171">
        <v>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x14ac:dyDescent="0.2">
      <c r="A172" t="s">
        <v>85</v>
      </c>
      <c r="B172" t="s">
        <v>28</v>
      </c>
      <c r="C172" t="s">
        <v>26</v>
      </c>
      <c r="D172">
        <v>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2">
      <c r="A173" t="s">
        <v>86</v>
      </c>
      <c r="B173" t="s">
        <v>25</v>
      </c>
      <c r="C173" t="s">
        <v>34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">
      <c r="A174" t="s">
        <v>86</v>
      </c>
      <c r="B174" t="s">
        <v>27</v>
      </c>
      <c r="C174" t="s">
        <v>26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x14ac:dyDescent="0.2">
      <c r="A175" t="s">
        <v>86</v>
      </c>
      <c r="B175" t="s">
        <v>28</v>
      </c>
      <c r="C175" t="s">
        <v>26</v>
      </c>
      <c r="D175">
        <v>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x14ac:dyDescent="0.2">
      <c r="A176" t="s">
        <v>87</v>
      </c>
      <c r="B176" t="s">
        <v>25</v>
      </c>
      <c r="C176" t="s">
        <v>26</v>
      </c>
      <c r="D176">
        <v>3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x14ac:dyDescent="0.2">
      <c r="A177" t="s">
        <v>87</v>
      </c>
      <c r="B177" t="s">
        <v>27</v>
      </c>
      <c r="C177" t="s">
        <v>26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 x14ac:dyDescent="0.2">
      <c r="A178" t="s">
        <v>87</v>
      </c>
      <c r="B178" t="s">
        <v>28</v>
      </c>
      <c r="C178" t="s">
        <v>26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x14ac:dyDescent="0.2">
      <c r="A179" t="s">
        <v>88</v>
      </c>
      <c r="B179" t="s">
        <v>25</v>
      </c>
      <c r="C179" t="s">
        <v>26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x14ac:dyDescent="0.2">
      <c r="A180" t="s">
        <v>88</v>
      </c>
      <c r="B180" t="s">
        <v>27</v>
      </c>
      <c r="C180" t="s">
        <v>26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2">
      <c r="A181" t="s">
        <v>88</v>
      </c>
      <c r="B181" t="s">
        <v>28</v>
      </c>
      <c r="C181" t="s">
        <v>26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2">
      <c r="A182" t="s">
        <v>89</v>
      </c>
      <c r="B182" t="s">
        <v>25</v>
      </c>
      <c r="C182" t="s">
        <v>26</v>
      </c>
      <c r="D182">
        <v>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2">
      <c r="A183" t="s">
        <v>89</v>
      </c>
      <c r="B183" t="s">
        <v>27</v>
      </c>
      <c r="C183" t="s">
        <v>26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 x14ac:dyDescent="0.2">
      <c r="A184" t="s">
        <v>89</v>
      </c>
      <c r="B184" t="s">
        <v>28</v>
      </c>
      <c r="C184" t="s">
        <v>26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 x14ac:dyDescent="0.2">
      <c r="A185" t="s">
        <v>90</v>
      </c>
      <c r="B185" t="s">
        <v>25</v>
      </c>
      <c r="C185" t="s">
        <v>34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 x14ac:dyDescent="0.2">
      <c r="A186" t="s">
        <v>90</v>
      </c>
      <c r="B186" t="s">
        <v>27</v>
      </c>
      <c r="C186" t="s">
        <v>26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 x14ac:dyDescent="0.2">
      <c r="A187" t="s">
        <v>90</v>
      </c>
      <c r="B187" t="s">
        <v>28</v>
      </c>
      <c r="C187" t="s">
        <v>26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 x14ac:dyDescent="0.2">
      <c r="A188" t="s">
        <v>91</v>
      </c>
      <c r="B188" t="s">
        <v>25</v>
      </c>
      <c r="C188" t="s">
        <v>26</v>
      </c>
      <c r="D188">
        <v>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 x14ac:dyDescent="0.2">
      <c r="A189" t="s">
        <v>91</v>
      </c>
      <c r="B189" t="s">
        <v>27</v>
      </c>
      <c r="C189" t="s">
        <v>26</v>
      </c>
      <c r="D189">
        <v>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">
      <c r="A190" t="s">
        <v>91</v>
      </c>
      <c r="B190" t="s">
        <v>28</v>
      </c>
      <c r="C190" t="s">
        <v>26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2">
      <c r="A191" t="s">
        <v>92</v>
      </c>
      <c r="B191" t="s">
        <v>25</v>
      </c>
      <c r="C191" t="s">
        <v>26</v>
      </c>
      <c r="D191">
        <v>4</v>
      </c>
      <c r="E191">
        <v>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2">
      <c r="A192" t="s">
        <v>92</v>
      </c>
      <c r="B192" t="s">
        <v>27</v>
      </c>
      <c r="C192" t="s">
        <v>26</v>
      </c>
      <c r="D192">
        <v>3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x14ac:dyDescent="0.2">
      <c r="A193" t="s">
        <v>92</v>
      </c>
      <c r="B193" t="s">
        <v>28</v>
      </c>
      <c r="C193" t="s">
        <v>26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2">
      <c r="A194" t="s">
        <v>93</v>
      </c>
      <c r="B194" t="s">
        <v>25</v>
      </c>
      <c r="C194" t="s">
        <v>26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2">
      <c r="A195" t="s">
        <v>93</v>
      </c>
      <c r="B195" t="s">
        <v>27</v>
      </c>
      <c r="C195" t="s">
        <v>26</v>
      </c>
      <c r="D195">
        <v>4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x14ac:dyDescent="0.2">
      <c r="A196" t="s">
        <v>93</v>
      </c>
      <c r="B196" t="s">
        <v>28</v>
      </c>
      <c r="C196" t="s">
        <v>26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x14ac:dyDescent="0.2">
      <c r="A197" t="s">
        <v>94</v>
      </c>
      <c r="B197" t="s">
        <v>25</v>
      </c>
      <c r="C197" t="s">
        <v>26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2">
      <c r="A198" t="s">
        <v>94</v>
      </c>
      <c r="B198" t="s">
        <v>27</v>
      </c>
      <c r="C198" t="s">
        <v>26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x14ac:dyDescent="0.2">
      <c r="A199" t="s">
        <v>94</v>
      </c>
      <c r="B199" t="s">
        <v>28</v>
      </c>
      <c r="C199" t="s">
        <v>26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 x14ac:dyDescent="0.2">
      <c r="A200" t="s">
        <v>95</v>
      </c>
      <c r="B200" t="s">
        <v>25</v>
      </c>
      <c r="C200" t="s">
        <v>26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 x14ac:dyDescent="0.2">
      <c r="A201" t="s">
        <v>95</v>
      </c>
      <c r="B201" t="s">
        <v>27</v>
      </c>
      <c r="C201" t="s">
        <v>26</v>
      </c>
      <c r="D201">
        <v>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 x14ac:dyDescent="0.2">
      <c r="A202" t="s">
        <v>95</v>
      </c>
      <c r="B202" t="s">
        <v>28</v>
      </c>
      <c r="C202" t="s">
        <v>26</v>
      </c>
      <c r="D202">
        <v>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 x14ac:dyDescent="0.2">
      <c r="A203" t="s">
        <v>96</v>
      </c>
      <c r="B203" t="s">
        <v>25</v>
      </c>
      <c r="C203" t="s">
        <v>26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 x14ac:dyDescent="0.2">
      <c r="A204" t="s">
        <v>96</v>
      </c>
      <c r="B204" t="s">
        <v>27</v>
      </c>
      <c r="C204" t="s">
        <v>26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x14ac:dyDescent="0.2">
      <c r="A205" t="s">
        <v>96</v>
      </c>
      <c r="B205" t="s">
        <v>28</v>
      </c>
      <c r="C205" t="s">
        <v>26</v>
      </c>
      <c r="D205">
        <v>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2">
      <c r="A206" t="s">
        <v>97</v>
      </c>
      <c r="B206" t="s">
        <v>25</v>
      </c>
      <c r="C206" t="s">
        <v>26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x14ac:dyDescent="0.2">
      <c r="A207" t="s">
        <v>97</v>
      </c>
      <c r="B207" t="s">
        <v>27</v>
      </c>
      <c r="C207" t="s">
        <v>26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x14ac:dyDescent="0.2">
      <c r="A208" t="s">
        <v>97</v>
      </c>
      <c r="B208" t="s">
        <v>28</v>
      </c>
      <c r="C208" t="s">
        <v>26</v>
      </c>
      <c r="D208">
        <v>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 x14ac:dyDescent="0.2">
      <c r="A209" t="s">
        <v>98</v>
      </c>
      <c r="B209" t="s">
        <v>25</v>
      </c>
      <c r="C209" t="s">
        <v>26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 x14ac:dyDescent="0.2">
      <c r="A210" t="s">
        <v>98</v>
      </c>
      <c r="B210" t="s">
        <v>27</v>
      </c>
      <c r="C210" t="s">
        <v>26</v>
      </c>
      <c r="D210">
        <v>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2">
      <c r="A211" t="s">
        <v>98</v>
      </c>
      <c r="B211" t="s">
        <v>28</v>
      </c>
      <c r="C211" t="s">
        <v>26</v>
      </c>
      <c r="D211">
        <v>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2">
      <c r="A212" t="s">
        <v>99</v>
      </c>
      <c r="B212" t="s">
        <v>25</v>
      </c>
      <c r="C212" t="s">
        <v>26</v>
      </c>
      <c r="D212">
        <v>0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 x14ac:dyDescent="0.2">
      <c r="A213" t="s">
        <v>99</v>
      </c>
      <c r="B213" t="s">
        <v>27</v>
      </c>
      <c r="C213" t="s">
        <v>26</v>
      </c>
      <c r="D213">
        <v>2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2">
      <c r="A214" t="s">
        <v>99</v>
      </c>
      <c r="B214" t="s">
        <v>28</v>
      </c>
      <c r="C214" t="s">
        <v>26</v>
      </c>
      <c r="D214">
        <v>3</v>
      </c>
      <c r="E214">
        <v>2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x14ac:dyDescent="0.2">
      <c r="A215" t="s">
        <v>100</v>
      </c>
      <c r="B215" t="s">
        <v>25</v>
      </c>
      <c r="C215" t="s">
        <v>26</v>
      </c>
      <c r="D215">
        <v>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2">
      <c r="A216" t="s">
        <v>100</v>
      </c>
      <c r="B216" t="s">
        <v>27</v>
      </c>
      <c r="C216" t="s">
        <v>26</v>
      </c>
      <c r="D216">
        <v>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2">
      <c r="A217" t="s">
        <v>100</v>
      </c>
      <c r="B217" t="s">
        <v>28</v>
      </c>
      <c r="C217" t="s">
        <v>26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2">
      <c r="A218" t="s">
        <v>101</v>
      </c>
      <c r="B218" t="s">
        <v>25</v>
      </c>
      <c r="C218" t="s">
        <v>26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2">
      <c r="A219" t="s">
        <v>101</v>
      </c>
      <c r="B219" t="s">
        <v>27</v>
      </c>
      <c r="C219" t="s">
        <v>26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 x14ac:dyDescent="0.2">
      <c r="A220" t="s">
        <v>101</v>
      </c>
      <c r="B220" t="s">
        <v>28</v>
      </c>
      <c r="C220" t="s">
        <v>26</v>
      </c>
      <c r="D220">
        <v>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 x14ac:dyDescent="0.2">
      <c r="A221" t="s">
        <v>102</v>
      </c>
      <c r="B221" t="s">
        <v>25</v>
      </c>
      <c r="C221" t="s">
        <v>26</v>
      </c>
      <c r="D221">
        <v>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2">
      <c r="A222" t="s">
        <v>102</v>
      </c>
      <c r="B222" t="s">
        <v>27</v>
      </c>
      <c r="C222" t="s">
        <v>26</v>
      </c>
      <c r="D222">
        <v>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">
      <c r="A223" t="s">
        <v>102</v>
      </c>
      <c r="B223" t="s">
        <v>28</v>
      </c>
      <c r="C223" t="s">
        <v>26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x14ac:dyDescent="0.2">
      <c r="A224" t="s">
        <v>103</v>
      </c>
      <c r="B224" t="s">
        <v>25</v>
      </c>
      <c r="C224" t="s">
        <v>26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x14ac:dyDescent="0.2">
      <c r="A225" t="s">
        <v>103</v>
      </c>
      <c r="B225" t="s">
        <v>27</v>
      </c>
      <c r="C225" t="s">
        <v>26</v>
      </c>
      <c r="D225">
        <v>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 x14ac:dyDescent="0.2">
      <c r="A226" t="s">
        <v>103</v>
      </c>
      <c r="B226" t="s">
        <v>28</v>
      </c>
      <c r="C226" t="s">
        <v>34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 x14ac:dyDescent="0.2">
      <c r="A227" t="s">
        <v>104</v>
      </c>
      <c r="B227" t="s">
        <v>25</v>
      </c>
      <c r="C227" t="s">
        <v>26</v>
      </c>
      <c r="D227">
        <v>3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 x14ac:dyDescent="0.2">
      <c r="A228" t="s">
        <v>104</v>
      </c>
      <c r="B228" t="s">
        <v>27</v>
      </c>
      <c r="C228" t="s">
        <v>26</v>
      </c>
      <c r="D228">
        <v>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1:24" x14ac:dyDescent="0.2">
      <c r="A229" t="s">
        <v>104</v>
      </c>
      <c r="B229" t="s">
        <v>28</v>
      </c>
      <c r="C229" t="s">
        <v>26</v>
      </c>
      <c r="D229">
        <v>3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 x14ac:dyDescent="0.2">
      <c r="A230" t="s">
        <v>105</v>
      </c>
      <c r="B230" t="s">
        <v>25</v>
      </c>
      <c r="C230" t="s">
        <v>34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 x14ac:dyDescent="0.2">
      <c r="A231" t="s">
        <v>105</v>
      </c>
      <c r="B231" t="s">
        <v>27</v>
      </c>
      <c r="C231" t="s">
        <v>26</v>
      </c>
      <c r="D231">
        <v>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 x14ac:dyDescent="0.2">
      <c r="A232" t="s">
        <v>105</v>
      </c>
      <c r="B232" t="s">
        <v>28</v>
      </c>
      <c r="C232" t="s">
        <v>26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 x14ac:dyDescent="0.2">
      <c r="A233" t="s">
        <v>106</v>
      </c>
      <c r="B233" t="s">
        <v>25</v>
      </c>
      <c r="C233" t="s">
        <v>26</v>
      </c>
      <c r="D233">
        <v>3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 x14ac:dyDescent="0.2">
      <c r="A234" t="s">
        <v>106</v>
      </c>
      <c r="B234" t="s">
        <v>27</v>
      </c>
      <c r="C234" t="s">
        <v>26</v>
      </c>
      <c r="D234">
        <v>3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 x14ac:dyDescent="0.2">
      <c r="A235" t="s">
        <v>106</v>
      </c>
      <c r="B235" t="s">
        <v>28</v>
      </c>
      <c r="C235" t="s">
        <v>26</v>
      </c>
      <c r="D235">
        <v>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 x14ac:dyDescent="0.2">
      <c r="A236" t="s">
        <v>107</v>
      </c>
      <c r="B236" t="s">
        <v>25</v>
      </c>
      <c r="C236" t="s">
        <v>26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 x14ac:dyDescent="0.2">
      <c r="A237" t="s">
        <v>107</v>
      </c>
      <c r="B237" t="s">
        <v>27</v>
      </c>
      <c r="C237" t="s">
        <v>26</v>
      </c>
      <c r="D237">
        <v>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2">
      <c r="A238" t="s">
        <v>107</v>
      </c>
      <c r="B238" t="s">
        <v>28</v>
      </c>
      <c r="C238" t="s">
        <v>26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x14ac:dyDescent="0.2">
      <c r="A239" t="s">
        <v>108</v>
      </c>
      <c r="B239" t="s">
        <v>25</v>
      </c>
      <c r="C239" t="s">
        <v>26</v>
      </c>
      <c r="D239">
        <v>2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2">
      <c r="A240" t="s">
        <v>108</v>
      </c>
      <c r="B240" t="s">
        <v>27</v>
      </c>
      <c r="C240" t="s">
        <v>26</v>
      </c>
      <c r="D240">
        <v>1</v>
      </c>
      <c r="E240">
        <v>3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 x14ac:dyDescent="0.2">
      <c r="A241" t="s">
        <v>108</v>
      </c>
      <c r="B241" t="s">
        <v>28</v>
      </c>
      <c r="C241" t="s">
        <v>26</v>
      </c>
      <c r="D241">
        <v>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 x14ac:dyDescent="0.2">
      <c r="A242" t="s">
        <v>109</v>
      </c>
      <c r="B242" t="s">
        <v>25</v>
      </c>
      <c r="C242" t="s">
        <v>26</v>
      </c>
      <c r="D242">
        <v>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 x14ac:dyDescent="0.2">
      <c r="A243" t="s">
        <v>109</v>
      </c>
      <c r="B243" t="s">
        <v>27</v>
      </c>
      <c r="C243" t="s">
        <v>26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 x14ac:dyDescent="0.2">
      <c r="A244" t="s">
        <v>109</v>
      </c>
      <c r="B244" t="s">
        <v>28</v>
      </c>
      <c r="C244" t="s">
        <v>26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 x14ac:dyDescent="0.2">
      <c r="A245" t="s">
        <v>110</v>
      </c>
      <c r="B245" t="s">
        <v>25</v>
      </c>
      <c r="C245" t="s">
        <v>26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 x14ac:dyDescent="0.2">
      <c r="A246" t="s">
        <v>110</v>
      </c>
      <c r="B246" t="s">
        <v>27</v>
      </c>
      <c r="C246" t="s">
        <v>26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 x14ac:dyDescent="0.2">
      <c r="A247" t="s">
        <v>110</v>
      </c>
      <c r="B247" t="s">
        <v>28</v>
      </c>
      <c r="C247" t="s">
        <v>26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 x14ac:dyDescent="0.2">
      <c r="A248" t="s">
        <v>111</v>
      </c>
      <c r="B248" t="s">
        <v>25</v>
      </c>
      <c r="C248" t="s">
        <v>26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 x14ac:dyDescent="0.2">
      <c r="A249" t="s">
        <v>111</v>
      </c>
      <c r="B249" t="s">
        <v>27</v>
      </c>
      <c r="C249" t="s">
        <v>26</v>
      </c>
      <c r="D249">
        <v>2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 x14ac:dyDescent="0.2">
      <c r="A250" t="s">
        <v>111</v>
      </c>
      <c r="B250" t="s">
        <v>28</v>
      </c>
      <c r="C250" t="s">
        <v>26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 x14ac:dyDescent="0.2">
      <c r="A251" t="s">
        <v>112</v>
      </c>
      <c r="B251" t="s">
        <v>25</v>
      </c>
      <c r="C251" t="s">
        <v>26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 x14ac:dyDescent="0.2">
      <c r="A252" t="s">
        <v>112</v>
      </c>
      <c r="B252" t="s">
        <v>27</v>
      </c>
      <c r="C252" t="s">
        <v>26</v>
      </c>
      <c r="D252">
        <v>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 x14ac:dyDescent="0.2">
      <c r="A253" t="s">
        <v>112</v>
      </c>
      <c r="B253" t="s">
        <v>28</v>
      </c>
      <c r="C253" t="s">
        <v>26</v>
      </c>
      <c r="D253">
        <v>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24" x14ac:dyDescent="0.2">
      <c r="A254" t="s">
        <v>113</v>
      </c>
      <c r="B254" t="s">
        <v>25</v>
      </c>
      <c r="C254" t="s">
        <v>26</v>
      </c>
      <c r="D254">
        <v>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 x14ac:dyDescent="0.2">
      <c r="A255" t="s">
        <v>113</v>
      </c>
      <c r="B255" t="s">
        <v>27</v>
      </c>
      <c r="C255" t="s">
        <v>26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 x14ac:dyDescent="0.2">
      <c r="A256" t="s">
        <v>113</v>
      </c>
      <c r="B256" t="s">
        <v>28</v>
      </c>
      <c r="C256" t="s">
        <v>26</v>
      </c>
      <c r="D256">
        <v>2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 x14ac:dyDescent="0.2">
      <c r="A257" t="s">
        <v>114</v>
      </c>
      <c r="B257" t="s">
        <v>25</v>
      </c>
      <c r="C257" t="s">
        <v>26</v>
      </c>
      <c r="D257">
        <v>2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 x14ac:dyDescent="0.2">
      <c r="A258" t="s">
        <v>114</v>
      </c>
      <c r="B258" t="s">
        <v>27</v>
      </c>
      <c r="C258" t="s">
        <v>26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 x14ac:dyDescent="0.2">
      <c r="A259" t="s">
        <v>114</v>
      </c>
      <c r="B259" t="s">
        <v>28</v>
      </c>
      <c r="C259" t="s">
        <v>26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 x14ac:dyDescent="0.2">
      <c r="A260" t="s">
        <v>115</v>
      </c>
      <c r="B260" t="s">
        <v>25</v>
      </c>
      <c r="C260" t="s">
        <v>26</v>
      </c>
      <c r="D260">
        <v>2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 x14ac:dyDescent="0.2">
      <c r="A261" t="s">
        <v>115</v>
      </c>
      <c r="B261" t="s">
        <v>27</v>
      </c>
      <c r="C261" t="s">
        <v>26</v>
      </c>
      <c r="D261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 x14ac:dyDescent="0.2">
      <c r="A262" t="s">
        <v>115</v>
      </c>
      <c r="B262" t="s">
        <v>28</v>
      </c>
      <c r="C262" t="s">
        <v>34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 x14ac:dyDescent="0.2">
      <c r="A263" t="s">
        <v>116</v>
      </c>
      <c r="B263" t="s">
        <v>25</v>
      </c>
      <c r="C263" t="s">
        <v>26</v>
      </c>
      <c r="D263">
        <v>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 x14ac:dyDescent="0.2">
      <c r="A264" t="s">
        <v>116</v>
      </c>
      <c r="B264" t="s">
        <v>27</v>
      </c>
      <c r="C264" t="s">
        <v>26</v>
      </c>
      <c r="D264">
        <v>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 x14ac:dyDescent="0.2">
      <c r="A265" t="s">
        <v>116</v>
      </c>
      <c r="B265" t="s">
        <v>28</v>
      </c>
      <c r="C265" t="s">
        <v>26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 x14ac:dyDescent="0.2">
      <c r="A266" t="s">
        <v>117</v>
      </c>
      <c r="B266" t="s">
        <v>25</v>
      </c>
      <c r="C266" t="s">
        <v>34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 x14ac:dyDescent="0.2">
      <c r="A267" t="s">
        <v>117</v>
      </c>
      <c r="B267" t="s">
        <v>27</v>
      </c>
      <c r="C267" t="s">
        <v>26</v>
      </c>
      <c r="D267">
        <v>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 x14ac:dyDescent="0.2">
      <c r="A268" t="s">
        <v>117</v>
      </c>
      <c r="B268" t="s">
        <v>28</v>
      </c>
      <c r="C268" t="s">
        <v>34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 x14ac:dyDescent="0.2">
      <c r="A269" t="s">
        <v>118</v>
      </c>
      <c r="B269" t="s">
        <v>25</v>
      </c>
      <c r="C269" t="s">
        <v>34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 x14ac:dyDescent="0.2">
      <c r="A270" t="s">
        <v>118</v>
      </c>
      <c r="B270" t="s">
        <v>27</v>
      </c>
      <c r="C270" t="s">
        <v>26</v>
      </c>
      <c r="D270">
        <v>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 x14ac:dyDescent="0.2">
      <c r="A271" t="s">
        <v>118</v>
      </c>
      <c r="B271" t="s">
        <v>28</v>
      </c>
      <c r="C271" t="s">
        <v>26</v>
      </c>
      <c r="D271">
        <v>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 x14ac:dyDescent="0.2">
      <c r="A272" t="s">
        <v>119</v>
      </c>
      <c r="B272" t="s">
        <v>25</v>
      </c>
      <c r="C272" t="s">
        <v>26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 x14ac:dyDescent="0.2">
      <c r="A273" t="s">
        <v>119</v>
      </c>
      <c r="B273" t="s">
        <v>27</v>
      </c>
      <c r="C273" t="s">
        <v>26</v>
      </c>
      <c r="D273">
        <v>2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 x14ac:dyDescent="0.2">
      <c r="A274" t="s">
        <v>119</v>
      </c>
      <c r="B274" t="s">
        <v>28</v>
      </c>
      <c r="C274" t="s">
        <v>26</v>
      </c>
      <c r="D274">
        <v>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 x14ac:dyDescent="0.2">
      <c r="A275" t="s">
        <v>120</v>
      </c>
      <c r="B275" t="s">
        <v>25</v>
      </c>
      <c r="C275" t="s">
        <v>34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 x14ac:dyDescent="0.2">
      <c r="A276" t="s">
        <v>120</v>
      </c>
      <c r="B276" t="s">
        <v>27</v>
      </c>
      <c r="C276" t="s">
        <v>26</v>
      </c>
      <c r="D276">
        <v>3</v>
      </c>
      <c r="E276">
        <v>1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 x14ac:dyDescent="0.2">
      <c r="A277" t="s">
        <v>120</v>
      </c>
      <c r="B277" t="s">
        <v>28</v>
      </c>
      <c r="C277" t="s">
        <v>26</v>
      </c>
      <c r="D277">
        <v>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x14ac:dyDescent="0.2">
      <c r="A278" t="s">
        <v>121</v>
      </c>
      <c r="B278" t="s">
        <v>25</v>
      </c>
      <c r="C278" t="s">
        <v>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 x14ac:dyDescent="0.2">
      <c r="A279" t="s">
        <v>121</v>
      </c>
      <c r="B279" t="s">
        <v>27</v>
      </c>
      <c r="C279" t="s">
        <v>26</v>
      </c>
      <c r="D279">
        <v>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x14ac:dyDescent="0.2">
      <c r="A280" t="s">
        <v>121</v>
      </c>
      <c r="B280" t="s">
        <v>28</v>
      </c>
      <c r="C280" t="s">
        <v>26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x14ac:dyDescent="0.2">
      <c r="A281" t="s">
        <v>122</v>
      </c>
      <c r="B281" t="s">
        <v>25</v>
      </c>
      <c r="C281" t="s">
        <v>26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 x14ac:dyDescent="0.2">
      <c r="A282" t="s">
        <v>122</v>
      </c>
      <c r="B282" t="s">
        <v>27</v>
      </c>
      <c r="C282" t="s">
        <v>26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 x14ac:dyDescent="0.2">
      <c r="A283" t="s">
        <v>122</v>
      </c>
      <c r="B283" t="s">
        <v>28</v>
      </c>
      <c r="C283" t="s">
        <v>26</v>
      </c>
      <c r="D283">
        <v>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</row>
    <row r="284" spans="1:24" x14ac:dyDescent="0.2">
      <c r="A284" t="s">
        <v>123</v>
      </c>
      <c r="B284" t="s">
        <v>25</v>
      </c>
      <c r="C284" t="s">
        <v>26</v>
      </c>
      <c r="D284">
        <v>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 x14ac:dyDescent="0.2">
      <c r="A285" t="s">
        <v>123</v>
      </c>
      <c r="B285" t="s">
        <v>27</v>
      </c>
      <c r="C285" t="s">
        <v>26</v>
      </c>
      <c r="D285">
        <v>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 x14ac:dyDescent="0.2">
      <c r="A286" t="s">
        <v>123</v>
      </c>
      <c r="B286" t="s">
        <v>28</v>
      </c>
      <c r="C286" t="s">
        <v>26</v>
      </c>
      <c r="D286">
        <v>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 x14ac:dyDescent="0.2">
      <c r="A287" t="s">
        <v>124</v>
      </c>
      <c r="B287" t="s">
        <v>25</v>
      </c>
      <c r="C287" t="s">
        <v>26</v>
      </c>
      <c r="D287">
        <v>3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 x14ac:dyDescent="0.2">
      <c r="A288" t="s">
        <v>124</v>
      </c>
      <c r="B288" t="s">
        <v>27</v>
      </c>
      <c r="C288" t="s">
        <v>26</v>
      </c>
      <c r="D288">
        <v>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 x14ac:dyDescent="0.2">
      <c r="A289" t="s">
        <v>124</v>
      </c>
      <c r="B289" t="s">
        <v>28</v>
      </c>
      <c r="C289" t="s">
        <v>26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 x14ac:dyDescent="0.2">
      <c r="A290" t="s">
        <v>125</v>
      </c>
      <c r="B290" t="s">
        <v>25</v>
      </c>
      <c r="C290" t="s">
        <v>26</v>
      </c>
      <c r="D290">
        <v>3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1:24" x14ac:dyDescent="0.2">
      <c r="A291" t="s">
        <v>125</v>
      </c>
      <c r="B291" t="s">
        <v>27</v>
      </c>
      <c r="C291" t="s">
        <v>26</v>
      </c>
      <c r="D291">
        <v>3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 x14ac:dyDescent="0.2">
      <c r="A292" t="s">
        <v>125</v>
      </c>
      <c r="B292" t="s">
        <v>28</v>
      </c>
      <c r="C292" t="s">
        <v>26</v>
      </c>
      <c r="D292">
        <v>2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 x14ac:dyDescent="0.2">
      <c r="A293" t="s">
        <v>126</v>
      </c>
      <c r="B293" t="s">
        <v>25</v>
      </c>
      <c r="C293" t="s">
        <v>26</v>
      </c>
      <c r="D293">
        <v>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2">
      <c r="A294" t="s">
        <v>126</v>
      </c>
      <c r="B294" t="s">
        <v>27</v>
      </c>
      <c r="C294" t="s">
        <v>26</v>
      </c>
      <c r="D294">
        <v>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 x14ac:dyDescent="0.2">
      <c r="A295" t="s">
        <v>126</v>
      </c>
      <c r="B295" t="s">
        <v>28</v>
      </c>
      <c r="C295" t="s">
        <v>26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 x14ac:dyDescent="0.2">
      <c r="A296" t="s">
        <v>127</v>
      </c>
      <c r="B296" t="s">
        <v>25</v>
      </c>
      <c r="C296" t="s">
        <v>26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 x14ac:dyDescent="0.2">
      <c r="A297" t="s">
        <v>127</v>
      </c>
      <c r="B297" t="s">
        <v>27</v>
      </c>
      <c r="C297" t="s">
        <v>26</v>
      </c>
      <c r="D297">
        <v>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 x14ac:dyDescent="0.2">
      <c r="A298" t="s">
        <v>127</v>
      </c>
      <c r="B298" t="s">
        <v>28</v>
      </c>
      <c r="C298" t="s">
        <v>26</v>
      </c>
      <c r="D298">
        <v>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 x14ac:dyDescent="0.2">
      <c r="A299" t="s">
        <v>128</v>
      </c>
      <c r="B299" t="s">
        <v>25</v>
      </c>
      <c r="C299" t="s">
        <v>34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 x14ac:dyDescent="0.2">
      <c r="A300" t="s">
        <v>128</v>
      </c>
      <c r="B300" t="s">
        <v>27</v>
      </c>
      <c r="C300" t="s">
        <v>26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 x14ac:dyDescent="0.2">
      <c r="A301" t="s">
        <v>128</v>
      </c>
      <c r="B301" t="s">
        <v>28</v>
      </c>
      <c r="C301" t="s">
        <v>26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 x14ac:dyDescent="0.2">
      <c r="A302" t="s">
        <v>129</v>
      </c>
      <c r="B302" t="s">
        <v>25</v>
      </c>
      <c r="C302" t="s">
        <v>26</v>
      </c>
      <c r="D302">
        <v>3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 x14ac:dyDescent="0.2">
      <c r="A303" t="s">
        <v>129</v>
      </c>
      <c r="B303" t="s">
        <v>27</v>
      </c>
      <c r="C303" t="s">
        <v>26</v>
      </c>
      <c r="D303">
        <v>2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 x14ac:dyDescent="0.2">
      <c r="A304" t="s">
        <v>129</v>
      </c>
      <c r="B304" t="s">
        <v>28</v>
      </c>
      <c r="C304" t="s">
        <v>26</v>
      </c>
      <c r="D304">
        <v>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 x14ac:dyDescent="0.2">
      <c r="A305" t="s">
        <v>130</v>
      </c>
      <c r="B305" t="s">
        <v>25</v>
      </c>
      <c r="C305" t="s">
        <v>26</v>
      </c>
      <c r="D305">
        <v>2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 x14ac:dyDescent="0.2">
      <c r="A306" t="s">
        <v>130</v>
      </c>
      <c r="B306" t="s">
        <v>27</v>
      </c>
      <c r="C306" t="s">
        <v>26</v>
      </c>
      <c r="D306">
        <v>4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 x14ac:dyDescent="0.2">
      <c r="A307" t="s">
        <v>130</v>
      </c>
      <c r="B307" t="s">
        <v>28</v>
      </c>
      <c r="C307" t="s">
        <v>26</v>
      </c>
      <c r="D307">
        <v>3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 x14ac:dyDescent="0.2">
      <c r="A308" t="s">
        <v>131</v>
      </c>
      <c r="B308" t="s">
        <v>25</v>
      </c>
      <c r="C308" t="s">
        <v>26</v>
      </c>
      <c r="D308">
        <v>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4" x14ac:dyDescent="0.2">
      <c r="A309" t="s">
        <v>131</v>
      </c>
      <c r="B309" t="s">
        <v>27</v>
      </c>
      <c r="C309" t="s">
        <v>26</v>
      </c>
      <c r="D309">
        <v>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 x14ac:dyDescent="0.2">
      <c r="A310" t="s">
        <v>131</v>
      </c>
      <c r="B310" t="s">
        <v>28</v>
      </c>
      <c r="C310" t="s">
        <v>26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 x14ac:dyDescent="0.2">
      <c r="A311" t="s">
        <v>132</v>
      </c>
      <c r="B311" t="s">
        <v>25</v>
      </c>
      <c r="C311" t="s">
        <v>26</v>
      </c>
      <c r="D311">
        <v>4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 x14ac:dyDescent="0.2">
      <c r="A312" t="s">
        <v>132</v>
      </c>
      <c r="B312" t="s">
        <v>27</v>
      </c>
      <c r="C312" t="s">
        <v>26</v>
      </c>
      <c r="D312">
        <v>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 x14ac:dyDescent="0.2">
      <c r="A313" t="s">
        <v>132</v>
      </c>
      <c r="B313" t="s">
        <v>28</v>
      </c>
      <c r="C313" t="s">
        <v>26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 x14ac:dyDescent="0.2">
      <c r="A314" t="s">
        <v>133</v>
      </c>
      <c r="B314" t="s">
        <v>25</v>
      </c>
      <c r="C314" t="s">
        <v>26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 x14ac:dyDescent="0.2">
      <c r="A315" t="s">
        <v>133</v>
      </c>
      <c r="B315" t="s">
        <v>27</v>
      </c>
      <c r="C315" t="s">
        <v>26</v>
      </c>
      <c r="D315">
        <v>3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x14ac:dyDescent="0.2">
      <c r="A316" t="s">
        <v>133</v>
      </c>
      <c r="B316" t="s">
        <v>28</v>
      </c>
      <c r="C316" t="s">
        <v>26</v>
      </c>
      <c r="D316">
        <v>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 x14ac:dyDescent="0.2">
      <c r="A317" t="s">
        <v>134</v>
      </c>
      <c r="B317" t="s">
        <v>25</v>
      </c>
      <c r="C317" t="s">
        <v>26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2">
      <c r="A318" t="s">
        <v>134</v>
      </c>
      <c r="B318" t="s">
        <v>27</v>
      </c>
      <c r="C318" t="s">
        <v>26</v>
      </c>
      <c r="D318">
        <v>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2">
      <c r="A319" t="s">
        <v>134</v>
      </c>
      <c r="B319" t="s">
        <v>28</v>
      </c>
      <c r="C319" t="s">
        <v>34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2">
      <c r="A320" t="s">
        <v>135</v>
      </c>
      <c r="B320" t="s">
        <v>25</v>
      </c>
      <c r="C320" t="s">
        <v>26</v>
      </c>
      <c r="D320">
        <v>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 x14ac:dyDescent="0.2">
      <c r="A321" t="s">
        <v>135</v>
      </c>
      <c r="B321" t="s">
        <v>27</v>
      </c>
      <c r="C321" t="s">
        <v>26</v>
      </c>
      <c r="D321">
        <v>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 x14ac:dyDescent="0.2">
      <c r="A322" t="s">
        <v>135</v>
      </c>
      <c r="B322" t="s">
        <v>28</v>
      </c>
      <c r="C322" t="s">
        <v>26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 x14ac:dyDescent="0.2">
      <c r="A323" t="s">
        <v>136</v>
      </c>
      <c r="B323" t="s">
        <v>25</v>
      </c>
      <c r="C323" t="s">
        <v>26</v>
      </c>
      <c r="D323">
        <v>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x14ac:dyDescent="0.2">
      <c r="A324" t="s">
        <v>136</v>
      </c>
      <c r="B324" t="s">
        <v>27</v>
      </c>
      <c r="C324" t="s">
        <v>26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24" x14ac:dyDescent="0.2">
      <c r="A325" t="s">
        <v>136</v>
      </c>
      <c r="B325" t="s">
        <v>28</v>
      </c>
      <c r="C325" t="s">
        <v>26</v>
      </c>
      <c r="D325">
        <v>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 x14ac:dyDescent="0.2">
      <c r="A326" t="s">
        <v>137</v>
      </c>
      <c r="B326" t="s">
        <v>25</v>
      </c>
      <c r="C326" t="s">
        <v>26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 x14ac:dyDescent="0.2">
      <c r="A327" t="s">
        <v>137</v>
      </c>
      <c r="B327" t="s">
        <v>27</v>
      </c>
      <c r="C327" t="s">
        <v>26</v>
      </c>
      <c r="D327">
        <v>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 x14ac:dyDescent="0.2">
      <c r="A328" t="s">
        <v>137</v>
      </c>
      <c r="B328" t="s">
        <v>28</v>
      </c>
      <c r="C328" t="s">
        <v>26</v>
      </c>
      <c r="D328">
        <v>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 x14ac:dyDescent="0.2">
      <c r="A329" t="s">
        <v>138</v>
      </c>
      <c r="B329" t="s">
        <v>25</v>
      </c>
      <c r="C329" t="s">
        <v>26</v>
      </c>
      <c r="D329">
        <v>2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 x14ac:dyDescent="0.2">
      <c r="A330" t="s">
        <v>138</v>
      </c>
      <c r="B330" t="s">
        <v>27</v>
      </c>
      <c r="C330" t="s">
        <v>26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 x14ac:dyDescent="0.2">
      <c r="A331" t="s">
        <v>138</v>
      </c>
      <c r="B331" t="s">
        <v>28</v>
      </c>
      <c r="C331" t="s">
        <v>26</v>
      </c>
      <c r="D331">
        <v>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 x14ac:dyDescent="0.2">
      <c r="A332" t="s">
        <v>139</v>
      </c>
      <c r="B332" t="s">
        <v>25</v>
      </c>
      <c r="C332" t="s">
        <v>26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 x14ac:dyDescent="0.2">
      <c r="A333" t="s">
        <v>139</v>
      </c>
      <c r="B333" t="s">
        <v>27</v>
      </c>
      <c r="C333" t="s">
        <v>26</v>
      </c>
      <c r="D333">
        <v>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 x14ac:dyDescent="0.2">
      <c r="A334" t="s">
        <v>139</v>
      </c>
      <c r="B334" t="s">
        <v>28</v>
      </c>
      <c r="C334" t="s">
        <v>26</v>
      </c>
      <c r="D334">
        <v>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x14ac:dyDescent="0.2">
      <c r="A335" t="s">
        <v>140</v>
      </c>
      <c r="B335" t="s">
        <v>25</v>
      </c>
      <c r="C335" t="s">
        <v>26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x14ac:dyDescent="0.2">
      <c r="A336" t="s">
        <v>140</v>
      </c>
      <c r="B336" t="s">
        <v>27</v>
      </c>
      <c r="C336" t="s">
        <v>26</v>
      </c>
      <c r="D336">
        <v>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 x14ac:dyDescent="0.2">
      <c r="A337" t="s">
        <v>140</v>
      </c>
      <c r="B337" t="s">
        <v>28</v>
      </c>
      <c r="C337" t="s">
        <v>26</v>
      </c>
      <c r="D337">
        <v>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 x14ac:dyDescent="0.2">
      <c r="A338" t="s">
        <v>141</v>
      </c>
      <c r="B338" t="s">
        <v>25</v>
      </c>
      <c r="C338" t="s">
        <v>26</v>
      </c>
      <c r="D338">
        <v>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 x14ac:dyDescent="0.2">
      <c r="A339" t="s">
        <v>141</v>
      </c>
      <c r="B339" t="s">
        <v>27</v>
      </c>
      <c r="C339" t="s">
        <v>26</v>
      </c>
      <c r="D339">
        <v>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 x14ac:dyDescent="0.2">
      <c r="A340" t="s">
        <v>141</v>
      </c>
      <c r="B340" t="s">
        <v>28</v>
      </c>
      <c r="C340" t="s">
        <v>26</v>
      </c>
      <c r="D340">
        <v>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 x14ac:dyDescent="0.2">
      <c r="A341" t="s">
        <v>142</v>
      </c>
      <c r="B341" t="s">
        <v>25</v>
      </c>
      <c r="C341" t="s">
        <v>26</v>
      </c>
      <c r="D341">
        <v>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 x14ac:dyDescent="0.2">
      <c r="A342" t="s">
        <v>142</v>
      </c>
      <c r="B342" t="s">
        <v>27</v>
      </c>
      <c r="C342" t="s">
        <v>26</v>
      </c>
      <c r="D342">
        <v>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 x14ac:dyDescent="0.2">
      <c r="A343" t="s">
        <v>142</v>
      </c>
      <c r="B343" t="s">
        <v>28</v>
      </c>
      <c r="C343" t="s">
        <v>26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">
      <c r="A344" t="s">
        <v>143</v>
      </c>
      <c r="B344" t="s">
        <v>25</v>
      </c>
      <c r="C344" t="s">
        <v>34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 x14ac:dyDescent="0.2">
      <c r="A345" t="s">
        <v>143</v>
      </c>
      <c r="B345" t="s">
        <v>27</v>
      </c>
      <c r="C345" t="s">
        <v>26</v>
      </c>
      <c r="D345">
        <v>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 x14ac:dyDescent="0.2">
      <c r="A346" t="s">
        <v>143</v>
      </c>
      <c r="B346" t="s">
        <v>28</v>
      </c>
      <c r="C346" t="s">
        <v>26</v>
      </c>
      <c r="D346">
        <v>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 x14ac:dyDescent="0.2">
      <c r="A347" t="s">
        <v>144</v>
      </c>
      <c r="B347" t="s">
        <v>25</v>
      </c>
      <c r="C347" t="s">
        <v>26</v>
      </c>
      <c r="D347">
        <v>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 x14ac:dyDescent="0.2">
      <c r="A348" t="s">
        <v>144</v>
      </c>
      <c r="B348" t="s">
        <v>27</v>
      </c>
      <c r="C348" t="s">
        <v>26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</row>
    <row r="349" spans="1:24" x14ac:dyDescent="0.2">
      <c r="A349" t="s">
        <v>144</v>
      </c>
      <c r="B349" t="s">
        <v>28</v>
      </c>
      <c r="C349" t="s">
        <v>26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 x14ac:dyDescent="0.2">
      <c r="A350" t="s">
        <v>145</v>
      </c>
      <c r="B350" t="s">
        <v>25</v>
      </c>
      <c r="C350" t="s">
        <v>26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 x14ac:dyDescent="0.2">
      <c r="A351" t="s">
        <v>145</v>
      </c>
      <c r="B351" t="s">
        <v>27</v>
      </c>
      <c r="C351" t="s">
        <v>26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</row>
    <row r="352" spans="1:24" x14ac:dyDescent="0.2">
      <c r="A352" t="s">
        <v>145</v>
      </c>
      <c r="B352" t="s">
        <v>28</v>
      </c>
      <c r="C352" t="s">
        <v>26</v>
      </c>
      <c r="D352">
        <v>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</row>
    <row r="353" spans="1:24" x14ac:dyDescent="0.2">
      <c r="A353" t="s">
        <v>146</v>
      </c>
      <c r="B353" t="s">
        <v>25</v>
      </c>
      <c r="C353" t="s">
        <v>26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</row>
    <row r="354" spans="1:24" x14ac:dyDescent="0.2">
      <c r="A354" t="s">
        <v>146</v>
      </c>
      <c r="B354" t="s">
        <v>27</v>
      </c>
      <c r="C354" t="s">
        <v>26</v>
      </c>
      <c r="D354">
        <v>3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 spans="1:24" x14ac:dyDescent="0.2">
      <c r="A355" t="s">
        <v>146</v>
      </c>
      <c r="B355" t="s">
        <v>28</v>
      </c>
      <c r="C355" t="s">
        <v>26</v>
      </c>
      <c r="D355">
        <v>4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24" x14ac:dyDescent="0.2">
      <c r="A356" t="s">
        <v>147</v>
      </c>
      <c r="B356" t="s">
        <v>25</v>
      </c>
      <c r="C356" t="s">
        <v>26</v>
      </c>
      <c r="D356">
        <v>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 x14ac:dyDescent="0.2">
      <c r="A357" t="s">
        <v>147</v>
      </c>
      <c r="B357" t="s">
        <v>27</v>
      </c>
      <c r="C357" t="s">
        <v>26</v>
      </c>
      <c r="D357">
        <v>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 x14ac:dyDescent="0.2">
      <c r="A358" t="s">
        <v>147</v>
      </c>
      <c r="B358" t="s">
        <v>28</v>
      </c>
      <c r="C358" t="s">
        <v>26</v>
      </c>
      <c r="D358">
        <v>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 x14ac:dyDescent="0.2">
      <c r="A359" t="s">
        <v>148</v>
      </c>
      <c r="B359" t="s">
        <v>25</v>
      </c>
      <c r="C359" t="s">
        <v>26</v>
      </c>
      <c r="D359">
        <v>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 x14ac:dyDescent="0.2">
      <c r="A360" t="s">
        <v>148</v>
      </c>
      <c r="B360" t="s">
        <v>27</v>
      </c>
      <c r="C360" t="s">
        <v>26</v>
      </c>
      <c r="D360">
        <v>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 x14ac:dyDescent="0.2">
      <c r="A361" t="s">
        <v>148</v>
      </c>
      <c r="B361" t="s">
        <v>28</v>
      </c>
      <c r="C361" t="s">
        <v>26</v>
      </c>
      <c r="D361">
        <v>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 x14ac:dyDescent="0.2">
      <c r="A362" t="s">
        <v>149</v>
      </c>
      <c r="B362" t="s">
        <v>25</v>
      </c>
      <c r="C362" t="s">
        <v>26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 x14ac:dyDescent="0.2">
      <c r="A363" t="s">
        <v>149</v>
      </c>
      <c r="B363" t="s">
        <v>27</v>
      </c>
      <c r="C363" t="s">
        <v>26</v>
      </c>
      <c r="D363">
        <v>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 x14ac:dyDescent="0.2">
      <c r="A364" t="s">
        <v>149</v>
      </c>
      <c r="B364" t="s">
        <v>28</v>
      </c>
      <c r="C364" t="s">
        <v>26</v>
      </c>
      <c r="D364">
        <v>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 x14ac:dyDescent="0.2">
      <c r="A365" t="s">
        <v>150</v>
      </c>
      <c r="B365" t="s">
        <v>25</v>
      </c>
      <c r="C365" t="s">
        <v>26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 x14ac:dyDescent="0.2">
      <c r="A366" t="s">
        <v>150</v>
      </c>
      <c r="B366" t="s">
        <v>27</v>
      </c>
      <c r="C366" t="s">
        <v>26</v>
      </c>
      <c r="D366">
        <v>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x14ac:dyDescent="0.2">
      <c r="A367" t="s">
        <v>150</v>
      </c>
      <c r="B367" t="s">
        <v>28</v>
      </c>
      <c r="C367" t="s">
        <v>26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2">
      <c r="A368" t="s">
        <v>151</v>
      </c>
      <c r="B368" t="s">
        <v>25</v>
      </c>
      <c r="C368" t="s">
        <v>26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 spans="1:24" x14ac:dyDescent="0.2">
      <c r="A369" t="s">
        <v>151</v>
      </c>
      <c r="B369" t="s">
        <v>27</v>
      </c>
      <c r="C369" t="s">
        <v>26</v>
      </c>
      <c r="D369">
        <v>3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</row>
    <row r="370" spans="1:24" x14ac:dyDescent="0.2">
      <c r="A370" t="s">
        <v>151</v>
      </c>
      <c r="B370" t="s">
        <v>28</v>
      </c>
      <c r="C370" t="s">
        <v>26</v>
      </c>
      <c r="D370">
        <v>10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 x14ac:dyDescent="0.2">
      <c r="A371" t="s">
        <v>152</v>
      </c>
      <c r="B371" t="s">
        <v>25</v>
      </c>
      <c r="C371" t="s">
        <v>26</v>
      </c>
      <c r="D371">
        <v>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</row>
    <row r="372" spans="1:24" x14ac:dyDescent="0.2">
      <c r="A372" t="s">
        <v>152</v>
      </c>
      <c r="B372" t="s">
        <v>27</v>
      </c>
      <c r="C372" t="s">
        <v>26</v>
      </c>
      <c r="D372">
        <v>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 spans="1:24" x14ac:dyDescent="0.2">
      <c r="A373" t="s">
        <v>152</v>
      </c>
      <c r="B373" t="s">
        <v>28</v>
      </c>
      <c r="C373" t="s">
        <v>26</v>
      </c>
      <c r="D373">
        <v>3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</row>
    <row r="374" spans="1:24" x14ac:dyDescent="0.2">
      <c r="A374" t="s">
        <v>153</v>
      </c>
      <c r="B374" t="s">
        <v>25</v>
      </c>
      <c r="C374" t="s">
        <v>26</v>
      </c>
      <c r="D374">
        <v>2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 x14ac:dyDescent="0.2">
      <c r="A375" t="s">
        <v>153</v>
      </c>
      <c r="B375" t="s">
        <v>27</v>
      </c>
      <c r="C375" t="s">
        <v>26</v>
      </c>
      <c r="D375">
        <v>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</row>
    <row r="376" spans="1:24" x14ac:dyDescent="0.2">
      <c r="A376" t="s">
        <v>153</v>
      </c>
      <c r="B376" t="s">
        <v>28</v>
      </c>
      <c r="C376" t="s">
        <v>26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</row>
    <row r="377" spans="1:24" x14ac:dyDescent="0.2">
      <c r="A377" t="s">
        <v>154</v>
      </c>
      <c r="B377" t="s">
        <v>25</v>
      </c>
      <c r="C377" t="s">
        <v>26</v>
      </c>
      <c r="D377">
        <v>2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 x14ac:dyDescent="0.2">
      <c r="A378" t="s">
        <v>154</v>
      </c>
      <c r="B378" t="s">
        <v>27</v>
      </c>
      <c r="C378" t="s">
        <v>26</v>
      </c>
      <c r="D378">
        <v>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 x14ac:dyDescent="0.2">
      <c r="A379" t="s">
        <v>154</v>
      </c>
      <c r="B379" t="s">
        <v>28</v>
      </c>
      <c r="C379" t="s">
        <v>26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24" x14ac:dyDescent="0.2">
      <c r="A380" t="s">
        <v>155</v>
      </c>
      <c r="B380" t="s">
        <v>25</v>
      </c>
      <c r="C380" t="s">
        <v>26</v>
      </c>
      <c r="D380">
        <v>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 x14ac:dyDescent="0.2">
      <c r="A381" t="s">
        <v>155</v>
      </c>
      <c r="B381" t="s">
        <v>27</v>
      </c>
      <c r="C381" t="s">
        <v>26</v>
      </c>
      <c r="D381">
        <v>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 x14ac:dyDescent="0.2">
      <c r="A382" t="s">
        <v>155</v>
      </c>
      <c r="B382" t="s">
        <v>28</v>
      </c>
      <c r="C382" t="s">
        <v>26</v>
      </c>
      <c r="D382">
        <v>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 x14ac:dyDescent="0.2">
      <c r="A383" t="s">
        <v>156</v>
      </c>
      <c r="B383" t="s">
        <v>25</v>
      </c>
      <c r="C383" t="s">
        <v>26</v>
      </c>
      <c r="D383">
        <v>5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 x14ac:dyDescent="0.2">
      <c r="A384" t="s">
        <v>156</v>
      </c>
      <c r="B384" t="s">
        <v>27</v>
      </c>
      <c r="C384" t="s">
        <v>26</v>
      </c>
      <c r="D384">
        <v>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 x14ac:dyDescent="0.2">
      <c r="A385" t="s">
        <v>156</v>
      </c>
      <c r="B385" t="s">
        <v>28</v>
      </c>
      <c r="C385" t="s">
        <v>26</v>
      </c>
      <c r="D385">
        <v>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 x14ac:dyDescent="0.2">
      <c r="A386" t="s">
        <v>157</v>
      </c>
      <c r="B386" t="s">
        <v>25</v>
      </c>
      <c r="C386" t="s">
        <v>26</v>
      </c>
      <c r="D386">
        <v>6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2">
      <c r="A387" t="s">
        <v>157</v>
      </c>
      <c r="B387" t="s">
        <v>27</v>
      </c>
      <c r="C387" t="s">
        <v>26</v>
      </c>
      <c r="D387">
        <v>2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24" x14ac:dyDescent="0.2">
      <c r="A388" t="s">
        <v>157</v>
      </c>
      <c r="B388" t="s">
        <v>28</v>
      </c>
      <c r="C388" t="s">
        <v>26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</row>
    <row r="389" spans="1:24" x14ac:dyDescent="0.2">
      <c r="A389" t="s">
        <v>158</v>
      </c>
      <c r="B389" t="s">
        <v>25</v>
      </c>
      <c r="C389" t="s">
        <v>26</v>
      </c>
      <c r="D389">
        <v>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 x14ac:dyDescent="0.2">
      <c r="A390" t="s">
        <v>158</v>
      </c>
      <c r="B390" t="s">
        <v>27</v>
      </c>
      <c r="C390" t="s">
        <v>26</v>
      </c>
      <c r="D390">
        <v>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 x14ac:dyDescent="0.2">
      <c r="A391" t="s">
        <v>158</v>
      </c>
      <c r="B391" t="s">
        <v>28</v>
      </c>
      <c r="C391" t="s">
        <v>26</v>
      </c>
      <c r="D391">
        <v>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24" x14ac:dyDescent="0.2">
      <c r="A392" t="s">
        <v>159</v>
      </c>
      <c r="B392" t="s">
        <v>25</v>
      </c>
      <c r="C392" t="s">
        <v>34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 x14ac:dyDescent="0.2">
      <c r="A393" t="s">
        <v>159</v>
      </c>
      <c r="B393" t="s">
        <v>27</v>
      </c>
      <c r="C393" t="s">
        <v>26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 x14ac:dyDescent="0.2">
      <c r="A394" t="s">
        <v>159</v>
      </c>
      <c r="B394" t="s">
        <v>28</v>
      </c>
      <c r="C394" t="s">
        <v>26</v>
      </c>
      <c r="D394">
        <v>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</row>
    <row r="395" spans="1:24" x14ac:dyDescent="0.2">
      <c r="A395" t="s">
        <v>160</v>
      </c>
      <c r="B395" t="s">
        <v>25</v>
      </c>
      <c r="C395" t="s">
        <v>26</v>
      </c>
      <c r="D395">
        <v>2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</row>
    <row r="396" spans="1:24" x14ac:dyDescent="0.2">
      <c r="A396" t="s">
        <v>160</v>
      </c>
      <c r="B396" t="s">
        <v>27</v>
      </c>
      <c r="C396" t="s">
        <v>26</v>
      </c>
      <c r="D396">
        <v>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 x14ac:dyDescent="0.2">
      <c r="A397" t="s">
        <v>160</v>
      </c>
      <c r="B397" t="s">
        <v>28</v>
      </c>
      <c r="C397" t="s">
        <v>26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 x14ac:dyDescent="0.2">
      <c r="A398" t="s">
        <v>161</v>
      </c>
      <c r="B398" t="s">
        <v>25</v>
      </c>
      <c r="C398" t="s">
        <v>26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 spans="1:24" x14ac:dyDescent="0.2">
      <c r="A399" t="s">
        <v>161</v>
      </c>
      <c r="B399" t="s">
        <v>27</v>
      </c>
      <c r="C399" t="s">
        <v>26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 x14ac:dyDescent="0.2">
      <c r="A400" t="s">
        <v>161</v>
      </c>
      <c r="B400" t="s">
        <v>28</v>
      </c>
      <c r="C400" t="s">
        <v>26</v>
      </c>
      <c r="D400">
        <v>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 x14ac:dyDescent="0.2">
      <c r="A401" t="s">
        <v>162</v>
      </c>
      <c r="B401" t="s">
        <v>25</v>
      </c>
      <c r="C401" t="s">
        <v>26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 x14ac:dyDescent="0.2">
      <c r="A402" t="s">
        <v>162</v>
      </c>
      <c r="B402" t="s">
        <v>27</v>
      </c>
      <c r="C402" t="s">
        <v>26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 x14ac:dyDescent="0.2">
      <c r="A403" t="s">
        <v>162</v>
      </c>
      <c r="B403" t="s">
        <v>28</v>
      </c>
      <c r="C403" t="s">
        <v>26</v>
      </c>
      <c r="D403">
        <v>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 x14ac:dyDescent="0.2">
      <c r="A404" t="s">
        <v>163</v>
      </c>
      <c r="B404" t="s">
        <v>25</v>
      </c>
      <c r="C404" t="s">
        <v>34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 x14ac:dyDescent="0.2">
      <c r="A405" t="s">
        <v>163</v>
      </c>
      <c r="B405" t="s">
        <v>27</v>
      </c>
      <c r="C405" t="s">
        <v>26</v>
      </c>
      <c r="D405">
        <v>1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x14ac:dyDescent="0.2">
      <c r="A406" t="s">
        <v>163</v>
      </c>
      <c r="B406" t="s">
        <v>28</v>
      </c>
      <c r="C406" t="s">
        <v>26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 x14ac:dyDescent="0.2">
      <c r="A407" t="s">
        <v>164</v>
      </c>
      <c r="B407" t="s">
        <v>25</v>
      </c>
      <c r="C407" t="s">
        <v>26</v>
      </c>
      <c r="D407">
        <v>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2">
      <c r="A408" t="s">
        <v>164</v>
      </c>
      <c r="B408" t="s">
        <v>27</v>
      </c>
      <c r="C408" t="s">
        <v>26</v>
      </c>
      <c r="D408">
        <v>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</row>
    <row r="409" spans="1:24" x14ac:dyDescent="0.2">
      <c r="A409" t="s">
        <v>164</v>
      </c>
      <c r="B409" t="s">
        <v>28</v>
      </c>
      <c r="C409" t="s">
        <v>26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 x14ac:dyDescent="0.2">
      <c r="A410" t="s">
        <v>165</v>
      </c>
      <c r="B410" t="s">
        <v>25</v>
      </c>
      <c r="C410" t="s">
        <v>26</v>
      </c>
      <c r="D410">
        <v>3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 x14ac:dyDescent="0.2">
      <c r="A411" t="s">
        <v>165</v>
      </c>
      <c r="B411" t="s">
        <v>27</v>
      </c>
      <c r="C411" t="s">
        <v>26</v>
      </c>
      <c r="D411">
        <v>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 x14ac:dyDescent="0.2">
      <c r="A412" t="s">
        <v>165</v>
      </c>
      <c r="B412" t="s">
        <v>28</v>
      </c>
      <c r="C412" t="s">
        <v>26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2"/>
  <sheetViews>
    <sheetView workbookViewId="0">
      <selection activeCell="P28" sqref="P28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13</v>
      </c>
      <c r="L1" s="1" t="s">
        <v>21</v>
      </c>
    </row>
    <row r="2" spans="1:12" x14ac:dyDescent="0.2">
      <c r="A2" t="s">
        <v>24</v>
      </c>
      <c r="B2" t="s">
        <v>25</v>
      </c>
      <c r="C2" t="s">
        <v>26</v>
      </c>
      <c r="D2">
        <v>3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 t="s">
        <v>24</v>
      </c>
      <c r="B3" t="s">
        <v>27</v>
      </c>
      <c r="C3" t="s">
        <v>26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 t="s">
        <v>24</v>
      </c>
      <c r="B4" t="s">
        <v>28</v>
      </c>
      <c r="C4" t="s">
        <v>26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 t="s">
        <v>29</v>
      </c>
      <c r="B5" t="s">
        <v>25</v>
      </c>
      <c r="C5" t="s">
        <v>26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 t="s">
        <v>29</v>
      </c>
      <c r="B6" t="s">
        <v>27</v>
      </c>
      <c r="C6" t="s">
        <v>26</v>
      </c>
      <c r="D6">
        <v>5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</row>
    <row r="7" spans="1:12" x14ac:dyDescent="0.2">
      <c r="A7" t="s">
        <v>29</v>
      </c>
      <c r="B7" t="s">
        <v>28</v>
      </c>
      <c r="C7" t="s">
        <v>26</v>
      </c>
      <c r="D7">
        <v>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 t="s">
        <v>30</v>
      </c>
      <c r="B8" t="s">
        <v>25</v>
      </c>
      <c r="C8" t="s">
        <v>26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 t="s">
        <v>30</v>
      </c>
      <c r="B9" t="s">
        <v>27</v>
      </c>
      <c r="C9" t="s">
        <v>26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 t="s">
        <v>30</v>
      </c>
      <c r="B10" t="s">
        <v>28</v>
      </c>
      <c r="C10" t="s">
        <v>26</v>
      </c>
      <c r="D10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 t="s">
        <v>31</v>
      </c>
      <c r="B11" t="s">
        <v>25</v>
      </c>
      <c r="C11" t="s">
        <v>26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 t="s">
        <v>31</v>
      </c>
      <c r="B12" t="s">
        <v>27</v>
      </c>
      <c r="C12" t="s">
        <v>26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 t="s">
        <v>31</v>
      </c>
      <c r="B13" t="s">
        <v>28</v>
      </c>
      <c r="C13" t="s">
        <v>26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">
      <c r="A14" t="s">
        <v>32</v>
      </c>
      <c r="B14" t="s">
        <v>25</v>
      </c>
      <c r="C14" t="s">
        <v>26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">
      <c r="A15" t="s">
        <v>32</v>
      </c>
      <c r="B15" t="s">
        <v>27</v>
      </c>
      <c r="C15" t="s">
        <v>26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32</v>
      </c>
      <c r="B16" t="s">
        <v>28</v>
      </c>
      <c r="C16" t="s">
        <v>26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t="s">
        <v>33</v>
      </c>
      <c r="B17" t="s">
        <v>25</v>
      </c>
      <c r="C17" t="s">
        <v>26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">
      <c r="A18" t="s">
        <v>33</v>
      </c>
      <c r="B18" t="s">
        <v>27</v>
      </c>
      <c r="C18" t="s">
        <v>26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 t="s">
        <v>33</v>
      </c>
      <c r="B19" t="s">
        <v>28</v>
      </c>
      <c r="C19" t="s">
        <v>34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">
      <c r="A20" t="s">
        <v>35</v>
      </c>
      <c r="B20" t="s">
        <v>25</v>
      </c>
      <c r="C20" t="s">
        <v>26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 t="s">
        <v>35</v>
      </c>
      <c r="B21" t="s">
        <v>27</v>
      </c>
      <c r="C21" t="s">
        <v>26</v>
      </c>
      <c r="D21">
        <v>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 t="s">
        <v>35</v>
      </c>
      <c r="B22" t="s">
        <v>28</v>
      </c>
      <c r="C22" t="s">
        <v>26</v>
      </c>
      <c r="D22">
        <v>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 t="s">
        <v>36</v>
      </c>
      <c r="B23" t="s">
        <v>25</v>
      </c>
      <c r="C23" t="s">
        <v>26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">
      <c r="A24" t="s">
        <v>36</v>
      </c>
      <c r="B24" t="s">
        <v>27</v>
      </c>
      <c r="C24" t="s">
        <v>26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 t="s">
        <v>36</v>
      </c>
      <c r="B25" t="s">
        <v>28</v>
      </c>
      <c r="C25" t="s">
        <v>26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 t="s">
        <v>37</v>
      </c>
      <c r="B26" t="s">
        <v>25</v>
      </c>
      <c r="C26" t="s">
        <v>26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 t="s">
        <v>37</v>
      </c>
      <c r="B27" t="s">
        <v>27</v>
      </c>
      <c r="C27" t="s">
        <v>26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 t="s">
        <v>37</v>
      </c>
      <c r="B28" t="s">
        <v>28</v>
      </c>
      <c r="C28" t="s">
        <v>26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 t="s">
        <v>38</v>
      </c>
      <c r="B29" t="s">
        <v>25</v>
      </c>
      <c r="C29" t="s">
        <v>26</v>
      </c>
      <c r="D29">
        <v>2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 t="s">
        <v>38</v>
      </c>
      <c r="B30" t="s">
        <v>27</v>
      </c>
      <c r="C30" t="s">
        <v>26</v>
      </c>
      <c r="D30">
        <v>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 t="s">
        <v>38</v>
      </c>
      <c r="B31" t="s">
        <v>28</v>
      </c>
      <c r="C31" t="s">
        <v>26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 t="s">
        <v>39</v>
      </c>
      <c r="B32" t="s">
        <v>25</v>
      </c>
      <c r="C32" t="s">
        <v>26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 t="s">
        <v>39</v>
      </c>
      <c r="B33" t="s">
        <v>27</v>
      </c>
      <c r="C33" t="s">
        <v>26</v>
      </c>
      <c r="D33">
        <v>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 t="s">
        <v>39</v>
      </c>
      <c r="B34" t="s">
        <v>28</v>
      </c>
      <c r="C34" t="s">
        <v>26</v>
      </c>
      <c r="D34">
        <v>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 t="s">
        <v>40</v>
      </c>
      <c r="B35" t="s">
        <v>25</v>
      </c>
      <c r="C35" t="s">
        <v>26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 t="s">
        <v>40</v>
      </c>
      <c r="B36" t="s">
        <v>27</v>
      </c>
      <c r="C36" t="s">
        <v>26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 t="s">
        <v>40</v>
      </c>
      <c r="B37" t="s">
        <v>28</v>
      </c>
      <c r="C37" t="s">
        <v>26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">
      <c r="A38" t="s">
        <v>41</v>
      </c>
      <c r="B38" t="s">
        <v>25</v>
      </c>
      <c r="C38" t="s">
        <v>26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">
      <c r="A39" t="s">
        <v>41</v>
      </c>
      <c r="B39" t="s">
        <v>27</v>
      </c>
      <c r="C39" t="s">
        <v>26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41</v>
      </c>
      <c r="B40" t="s">
        <v>28</v>
      </c>
      <c r="C40" t="s">
        <v>26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42</v>
      </c>
      <c r="B41" t="s">
        <v>25</v>
      </c>
      <c r="C41" t="s">
        <v>26</v>
      </c>
      <c r="D41">
        <v>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t="s">
        <v>42</v>
      </c>
      <c r="B42" t="s">
        <v>27</v>
      </c>
      <c r="C42" t="s">
        <v>26</v>
      </c>
      <c r="D42">
        <v>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 t="s">
        <v>42</v>
      </c>
      <c r="B43" t="s">
        <v>28</v>
      </c>
      <c r="C43" t="s">
        <v>34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43</v>
      </c>
      <c r="B44" t="s">
        <v>25</v>
      </c>
      <c r="C44" t="s">
        <v>34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43</v>
      </c>
      <c r="B45" t="s">
        <v>27</v>
      </c>
      <c r="C45" t="s">
        <v>26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43</v>
      </c>
      <c r="B46" t="s">
        <v>28</v>
      </c>
      <c r="C46" t="s">
        <v>26</v>
      </c>
      <c r="D46">
        <v>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t="s">
        <v>44</v>
      </c>
      <c r="B47" t="s">
        <v>25</v>
      </c>
      <c r="C47" t="s">
        <v>26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 t="s">
        <v>44</v>
      </c>
      <c r="B48" t="s">
        <v>27</v>
      </c>
      <c r="C48" t="s">
        <v>26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 t="s">
        <v>44</v>
      </c>
      <c r="B49" t="s">
        <v>28</v>
      </c>
      <c r="C49" t="s">
        <v>26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">
      <c r="A50" t="s">
        <v>45</v>
      </c>
      <c r="B50" t="s">
        <v>25</v>
      </c>
      <c r="C50" t="s">
        <v>26</v>
      </c>
      <c r="D50">
        <v>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">
      <c r="A51" t="s">
        <v>45</v>
      </c>
      <c r="B51" t="s">
        <v>27</v>
      </c>
      <c r="C51" t="s">
        <v>26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">
      <c r="A52" t="s">
        <v>45</v>
      </c>
      <c r="B52" t="s">
        <v>28</v>
      </c>
      <c r="C52" t="s">
        <v>26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">
      <c r="A53" t="s">
        <v>46</v>
      </c>
      <c r="B53" t="s">
        <v>25</v>
      </c>
      <c r="C53" t="s">
        <v>26</v>
      </c>
      <c r="D53">
        <v>5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">
      <c r="A54" t="s">
        <v>46</v>
      </c>
      <c r="B54" t="s">
        <v>27</v>
      </c>
      <c r="C54" t="s">
        <v>26</v>
      </c>
      <c r="D54">
        <v>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">
      <c r="A55" t="s">
        <v>46</v>
      </c>
      <c r="B55" t="s">
        <v>28</v>
      </c>
      <c r="C55" t="s">
        <v>26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">
      <c r="A56" t="s">
        <v>47</v>
      </c>
      <c r="B56" t="s">
        <v>25</v>
      </c>
      <c r="C56" t="s">
        <v>26</v>
      </c>
      <c r="D56">
        <v>5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">
      <c r="A57" t="s">
        <v>47</v>
      </c>
      <c r="B57" t="s">
        <v>27</v>
      </c>
      <c r="C57" t="s">
        <v>26</v>
      </c>
      <c r="D57">
        <v>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">
      <c r="A58" t="s">
        <v>47</v>
      </c>
      <c r="B58" t="s">
        <v>28</v>
      </c>
      <c r="C58" t="s">
        <v>26</v>
      </c>
      <c r="D58">
        <v>4</v>
      </c>
      <c r="E58">
        <v>6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">
      <c r="A59" t="s">
        <v>48</v>
      </c>
      <c r="B59" t="s">
        <v>25</v>
      </c>
      <c r="C59" t="s">
        <v>26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">
      <c r="A60" t="s">
        <v>48</v>
      </c>
      <c r="B60" t="s">
        <v>27</v>
      </c>
      <c r="C60" t="s">
        <v>26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">
      <c r="A61" t="s">
        <v>48</v>
      </c>
      <c r="B61" t="s">
        <v>28</v>
      </c>
      <c r="C61" t="s">
        <v>26</v>
      </c>
      <c r="D61">
        <v>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">
      <c r="A62" t="s">
        <v>49</v>
      </c>
      <c r="B62" t="s">
        <v>25</v>
      </c>
      <c r="C62" t="s">
        <v>26</v>
      </c>
      <c r="D62">
        <v>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">
      <c r="A63" t="s">
        <v>49</v>
      </c>
      <c r="B63" t="s">
        <v>27</v>
      </c>
      <c r="C63" t="s">
        <v>26</v>
      </c>
      <c r="D63">
        <v>4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">
      <c r="A64" t="s">
        <v>49</v>
      </c>
      <c r="B64" t="s">
        <v>28</v>
      </c>
      <c r="C64" t="s">
        <v>26</v>
      </c>
      <c r="D64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">
      <c r="A65" t="s">
        <v>50</v>
      </c>
      <c r="B65" t="s">
        <v>25</v>
      </c>
      <c r="C65" t="s">
        <v>26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">
      <c r="A66" t="s">
        <v>50</v>
      </c>
      <c r="B66" t="s">
        <v>27</v>
      </c>
      <c r="C66" t="s">
        <v>26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">
      <c r="A67" t="s">
        <v>50</v>
      </c>
      <c r="B67" t="s">
        <v>28</v>
      </c>
      <c r="C67" t="s">
        <v>26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">
      <c r="A68" t="s">
        <v>51</v>
      </c>
      <c r="B68" t="s">
        <v>25</v>
      </c>
      <c r="C68" t="s">
        <v>26</v>
      </c>
      <c r="D68">
        <v>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">
      <c r="A69" t="s">
        <v>51</v>
      </c>
      <c r="B69" t="s">
        <v>27</v>
      </c>
      <c r="C69" t="s">
        <v>26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">
      <c r="A70" t="s">
        <v>51</v>
      </c>
      <c r="B70" t="s">
        <v>28</v>
      </c>
      <c r="C70" t="s">
        <v>26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">
      <c r="A71" t="s">
        <v>52</v>
      </c>
      <c r="B71" t="s">
        <v>25</v>
      </c>
      <c r="C71" t="s">
        <v>26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">
      <c r="A72" t="s">
        <v>52</v>
      </c>
      <c r="B72" t="s">
        <v>27</v>
      </c>
      <c r="C72" t="s">
        <v>26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">
      <c r="A73" t="s">
        <v>52</v>
      </c>
      <c r="B73" t="s">
        <v>28</v>
      </c>
      <c r="C73" t="s">
        <v>26</v>
      </c>
      <c r="D73">
        <v>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">
      <c r="A74" t="s">
        <v>53</v>
      </c>
      <c r="B74" t="s">
        <v>25</v>
      </c>
      <c r="C74" t="s">
        <v>34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">
      <c r="A75" t="s">
        <v>53</v>
      </c>
      <c r="B75" t="s">
        <v>27</v>
      </c>
      <c r="C75" t="s">
        <v>26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">
      <c r="A76" t="s">
        <v>53</v>
      </c>
      <c r="B76" t="s">
        <v>28</v>
      </c>
      <c r="C76" t="s">
        <v>26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">
      <c r="A77" t="s">
        <v>54</v>
      </c>
      <c r="B77" t="s">
        <v>25</v>
      </c>
      <c r="C77" t="s">
        <v>26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">
      <c r="A78" t="s">
        <v>54</v>
      </c>
      <c r="B78" t="s">
        <v>27</v>
      </c>
      <c r="C78" t="s">
        <v>26</v>
      </c>
      <c r="D78">
        <v>3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">
      <c r="A79" t="s">
        <v>54</v>
      </c>
      <c r="B79" t="s">
        <v>28</v>
      </c>
      <c r="C79" t="s">
        <v>26</v>
      </c>
      <c r="D79">
        <v>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">
      <c r="A80" t="s">
        <v>55</v>
      </c>
      <c r="B80" t="s">
        <v>25</v>
      </c>
      <c r="C80" t="s">
        <v>26</v>
      </c>
      <c r="D80">
        <v>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">
      <c r="A81" t="s">
        <v>55</v>
      </c>
      <c r="B81" t="s">
        <v>27</v>
      </c>
      <c r="C81" t="s">
        <v>26</v>
      </c>
      <c r="D81">
        <v>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">
      <c r="A82" t="s">
        <v>55</v>
      </c>
      <c r="B82" t="s">
        <v>28</v>
      </c>
      <c r="C82" t="s">
        <v>26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">
      <c r="A83" t="s">
        <v>56</v>
      </c>
      <c r="B83" t="s">
        <v>25</v>
      </c>
      <c r="C83" t="s">
        <v>26</v>
      </c>
      <c r="D83">
        <v>3</v>
      </c>
      <c r="E83">
        <v>1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</row>
    <row r="84" spans="1:12" x14ac:dyDescent="0.2">
      <c r="A84" t="s">
        <v>56</v>
      </c>
      <c r="B84" t="s">
        <v>27</v>
      </c>
      <c r="C84" t="s">
        <v>26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">
      <c r="A85" t="s">
        <v>56</v>
      </c>
      <c r="B85" t="s">
        <v>28</v>
      </c>
      <c r="C85" t="s">
        <v>26</v>
      </c>
      <c r="D85">
        <v>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">
      <c r="A86" t="s">
        <v>57</v>
      </c>
      <c r="B86" t="s">
        <v>25</v>
      </c>
      <c r="C86" t="s">
        <v>26</v>
      </c>
      <c r="D86">
        <v>5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">
      <c r="A87" t="s">
        <v>57</v>
      </c>
      <c r="B87" t="s">
        <v>27</v>
      </c>
      <c r="C87" t="s">
        <v>26</v>
      </c>
      <c r="D87">
        <v>3</v>
      </c>
      <c r="E87">
        <v>1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">
      <c r="A88" t="s">
        <v>57</v>
      </c>
      <c r="B88" t="s">
        <v>28</v>
      </c>
      <c r="C88" t="s">
        <v>26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">
      <c r="A89" t="s">
        <v>58</v>
      </c>
      <c r="B89" t="s">
        <v>25</v>
      </c>
      <c r="C89" t="s">
        <v>26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">
      <c r="A90" t="s">
        <v>58</v>
      </c>
      <c r="B90" t="s">
        <v>27</v>
      </c>
      <c r="C90" t="s">
        <v>26</v>
      </c>
      <c r="D90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">
      <c r="A91" t="s">
        <v>58</v>
      </c>
      <c r="B91" t="s">
        <v>28</v>
      </c>
      <c r="C91" t="s">
        <v>26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">
      <c r="A92" t="s">
        <v>59</v>
      </c>
      <c r="B92" t="s">
        <v>25</v>
      </c>
      <c r="C92" t="s">
        <v>26</v>
      </c>
      <c r="D92">
        <v>2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">
      <c r="A93" t="s">
        <v>59</v>
      </c>
      <c r="B93" t="s">
        <v>27</v>
      </c>
      <c r="C93" t="s">
        <v>26</v>
      </c>
      <c r="D93">
        <v>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">
      <c r="A94" t="s">
        <v>59</v>
      </c>
      <c r="B94" t="s">
        <v>28</v>
      </c>
      <c r="C94" t="s">
        <v>26</v>
      </c>
      <c r="D94">
        <v>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">
      <c r="A95" t="s">
        <v>60</v>
      </c>
      <c r="B95" t="s">
        <v>25</v>
      </c>
      <c r="C95" t="s">
        <v>34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">
      <c r="A96" t="s">
        <v>60</v>
      </c>
      <c r="B96" t="s">
        <v>27</v>
      </c>
      <c r="C96" t="s">
        <v>26</v>
      </c>
      <c r="D96">
        <v>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">
      <c r="A97" t="s">
        <v>60</v>
      </c>
      <c r="B97" t="s">
        <v>28</v>
      </c>
      <c r="C97" t="s">
        <v>26</v>
      </c>
      <c r="D97">
        <v>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">
      <c r="A98" t="s">
        <v>61</v>
      </c>
      <c r="B98" t="s">
        <v>25</v>
      </c>
      <c r="C98" t="s">
        <v>26</v>
      </c>
      <c r="D98">
        <v>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">
      <c r="A99" t="s">
        <v>61</v>
      </c>
      <c r="B99" t="s">
        <v>27</v>
      </c>
      <c r="C99" t="s">
        <v>26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 t="s">
        <v>61</v>
      </c>
      <c r="B100" t="s">
        <v>28</v>
      </c>
      <c r="C100" t="s">
        <v>26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">
      <c r="A101" t="s">
        <v>62</v>
      </c>
      <c r="B101" t="s">
        <v>25</v>
      </c>
      <c r="C101" t="s">
        <v>26</v>
      </c>
      <c r="D101">
        <v>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">
      <c r="A102" t="s">
        <v>62</v>
      </c>
      <c r="B102" t="s">
        <v>27</v>
      </c>
      <c r="C102" t="s">
        <v>26</v>
      </c>
      <c r="D102">
        <v>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 t="s">
        <v>62</v>
      </c>
      <c r="B103" t="s">
        <v>28</v>
      </c>
      <c r="C103" t="s">
        <v>26</v>
      </c>
      <c r="D103">
        <v>4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">
      <c r="A104" t="s">
        <v>63</v>
      </c>
      <c r="B104" t="s">
        <v>25</v>
      </c>
      <c r="C104" t="s">
        <v>34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 t="s">
        <v>63</v>
      </c>
      <c r="B105" t="s">
        <v>27</v>
      </c>
      <c r="C105" t="s">
        <v>26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">
      <c r="A106" t="s">
        <v>63</v>
      </c>
      <c r="B106" t="s">
        <v>28</v>
      </c>
      <c r="C106" t="s">
        <v>26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 t="s">
        <v>64</v>
      </c>
      <c r="B107" t="s">
        <v>25</v>
      </c>
      <c r="C107" t="s">
        <v>26</v>
      </c>
      <c r="D107">
        <v>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">
      <c r="A108" t="s">
        <v>64</v>
      </c>
      <c r="B108" t="s">
        <v>27</v>
      </c>
      <c r="C108" t="s">
        <v>26</v>
      </c>
      <c r="D108">
        <v>3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</row>
    <row r="109" spans="1:12" x14ac:dyDescent="0.2">
      <c r="A109" t="s">
        <v>64</v>
      </c>
      <c r="B109" t="s">
        <v>28</v>
      </c>
      <c r="C109" t="s">
        <v>26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">
      <c r="A110" t="s">
        <v>65</v>
      </c>
      <c r="B110" t="s">
        <v>25</v>
      </c>
      <c r="C110" t="s">
        <v>26</v>
      </c>
      <c r="D110">
        <v>10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">
      <c r="A111" t="s">
        <v>65</v>
      </c>
      <c r="B111" t="s">
        <v>27</v>
      </c>
      <c r="C111" t="s">
        <v>26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 t="s">
        <v>65</v>
      </c>
      <c r="B112" t="s">
        <v>28</v>
      </c>
      <c r="C112" t="s">
        <v>26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 t="s">
        <v>66</v>
      </c>
      <c r="B113" t="s">
        <v>25</v>
      </c>
      <c r="C113" t="s">
        <v>26</v>
      </c>
      <c r="D113">
        <v>4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 t="s">
        <v>66</v>
      </c>
      <c r="B114" t="s">
        <v>27</v>
      </c>
      <c r="C114" t="s">
        <v>26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 t="s">
        <v>66</v>
      </c>
      <c r="B115" t="s">
        <v>28</v>
      </c>
      <c r="C115" t="s">
        <v>26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 t="s">
        <v>67</v>
      </c>
      <c r="B116" t="s">
        <v>25</v>
      </c>
      <c r="C116" t="s">
        <v>26</v>
      </c>
      <c r="D116">
        <v>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 t="s">
        <v>67</v>
      </c>
      <c r="B117" t="s">
        <v>27</v>
      </c>
      <c r="C117" t="s">
        <v>26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">
      <c r="A118" t="s">
        <v>67</v>
      </c>
      <c r="B118" t="s">
        <v>28</v>
      </c>
      <c r="C118" t="s">
        <v>26</v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">
      <c r="A119" t="s">
        <v>68</v>
      </c>
      <c r="B119" t="s">
        <v>25</v>
      </c>
      <c r="C119" t="s">
        <v>34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 t="s">
        <v>68</v>
      </c>
      <c r="B120" t="s">
        <v>27</v>
      </c>
      <c r="C120" t="s">
        <v>26</v>
      </c>
      <c r="D120">
        <v>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">
      <c r="A121" t="s">
        <v>68</v>
      </c>
      <c r="B121" t="s">
        <v>28</v>
      </c>
      <c r="C121" t="s">
        <v>34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 t="s">
        <v>69</v>
      </c>
      <c r="B122" t="s">
        <v>25</v>
      </c>
      <c r="C122" t="s">
        <v>26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 t="s">
        <v>69</v>
      </c>
      <c r="B123" t="s">
        <v>27</v>
      </c>
      <c r="C123" t="s">
        <v>26</v>
      </c>
      <c r="D123">
        <v>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 t="s">
        <v>69</v>
      </c>
      <c r="B124" t="s">
        <v>28</v>
      </c>
      <c r="C124" t="s">
        <v>26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 t="s">
        <v>70</v>
      </c>
      <c r="B125" t="s">
        <v>25</v>
      </c>
      <c r="C125" t="s">
        <v>34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 t="s">
        <v>70</v>
      </c>
      <c r="B126" t="s">
        <v>27</v>
      </c>
      <c r="C126" t="s">
        <v>26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 t="s">
        <v>70</v>
      </c>
      <c r="B127" t="s">
        <v>28</v>
      </c>
      <c r="C127" t="s">
        <v>26</v>
      </c>
      <c r="D127">
        <v>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 t="s">
        <v>71</v>
      </c>
      <c r="B128" t="s">
        <v>25</v>
      </c>
      <c r="C128" t="s">
        <v>26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 t="s">
        <v>71</v>
      </c>
      <c r="B129" t="s">
        <v>27</v>
      </c>
      <c r="C129" t="s">
        <v>26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 t="s">
        <v>71</v>
      </c>
      <c r="B130" t="s">
        <v>28</v>
      </c>
      <c r="C130" t="s">
        <v>26</v>
      </c>
      <c r="D130">
        <v>3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 t="s">
        <v>72</v>
      </c>
      <c r="B131" t="s">
        <v>25</v>
      </c>
      <c r="C131" t="s">
        <v>26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 t="s">
        <v>72</v>
      </c>
      <c r="B132" t="s">
        <v>27</v>
      </c>
      <c r="C132" t="s">
        <v>26</v>
      </c>
      <c r="D132">
        <v>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 t="s">
        <v>72</v>
      </c>
      <c r="B133" t="s">
        <v>28</v>
      </c>
      <c r="C133" t="s">
        <v>26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 t="s">
        <v>73</v>
      </c>
      <c r="B134" t="s">
        <v>25</v>
      </c>
      <c r="C134" t="s">
        <v>26</v>
      </c>
      <c r="D134">
        <v>4</v>
      </c>
      <c r="E134">
        <v>3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 t="s">
        <v>73</v>
      </c>
      <c r="B135" t="s">
        <v>27</v>
      </c>
      <c r="C135" t="s">
        <v>26</v>
      </c>
      <c r="D135">
        <v>4</v>
      </c>
      <c r="E135">
        <v>2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1</v>
      </c>
    </row>
    <row r="136" spans="1:12" x14ac:dyDescent="0.2">
      <c r="A136" t="s">
        <v>73</v>
      </c>
      <c r="B136" t="s">
        <v>28</v>
      </c>
      <c r="C136" t="s">
        <v>26</v>
      </c>
      <c r="D136">
        <v>1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 t="s">
        <v>74</v>
      </c>
      <c r="B137" t="s">
        <v>25</v>
      </c>
      <c r="C137" t="s">
        <v>26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 t="s">
        <v>74</v>
      </c>
      <c r="B138" t="s">
        <v>27</v>
      </c>
      <c r="C138" t="s">
        <v>26</v>
      </c>
      <c r="D138">
        <v>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 t="s">
        <v>74</v>
      </c>
      <c r="B139" t="s">
        <v>28</v>
      </c>
      <c r="C139" t="s">
        <v>26</v>
      </c>
      <c r="D139">
        <v>2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 t="s">
        <v>75</v>
      </c>
      <c r="B140" t="s">
        <v>25</v>
      </c>
      <c r="C140" t="s">
        <v>26</v>
      </c>
      <c r="D140">
        <v>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 t="s">
        <v>75</v>
      </c>
      <c r="B141" t="s">
        <v>27</v>
      </c>
      <c r="C141" t="s">
        <v>26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">
      <c r="A142" t="s">
        <v>75</v>
      </c>
      <c r="B142" t="s">
        <v>28</v>
      </c>
      <c r="C142" t="s">
        <v>26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 t="s">
        <v>76</v>
      </c>
      <c r="B143" t="s">
        <v>25</v>
      </c>
      <c r="C143" t="s">
        <v>26</v>
      </c>
      <c r="D143">
        <v>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 t="s">
        <v>76</v>
      </c>
      <c r="B144" t="s">
        <v>27</v>
      </c>
      <c r="C144" t="s">
        <v>26</v>
      </c>
      <c r="D144">
        <v>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A145" t="s">
        <v>76</v>
      </c>
      <c r="B145" t="s">
        <v>28</v>
      </c>
      <c r="C145" t="s">
        <v>26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">
      <c r="A146" t="s">
        <v>77</v>
      </c>
      <c r="B146" t="s">
        <v>25</v>
      </c>
      <c r="C146" t="s">
        <v>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">
      <c r="A147" t="s">
        <v>77</v>
      </c>
      <c r="B147" t="s">
        <v>27</v>
      </c>
      <c r="C147" t="s">
        <v>26</v>
      </c>
      <c r="D147">
        <v>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">
      <c r="A148" t="s">
        <v>77</v>
      </c>
      <c r="B148" t="s">
        <v>28</v>
      </c>
      <c r="C148" t="s">
        <v>26</v>
      </c>
      <c r="D148">
        <v>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">
      <c r="A149" t="s">
        <v>78</v>
      </c>
      <c r="B149" t="s">
        <v>25</v>
      </c>
      <c r="C149" t="s">
        <v>26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A150" t="s">
        <v>78</v>
      </c>
      <c r="B150" t="s">
        <v>27</v>
      </c>
      <c r="C150" t="s">
        <v>26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">
      <c r="A151" t="s">
        <v>78</v>
      </c>
      <c r="B151" t="s">
        <v>28</v>
      </c>
      <c r="C151" t="s">
        <v>26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">
      <c r="A152" t="s">
        <v>79</v>
      </c>
      <c r="B152" t="s">
        <v>25</v>
      </c>
      <c r="C152" t="s">
        <v>34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A153" t="s">
        <v>79</v>
      </c>
      <c r="B153" t="s">
        <v>27</v>
      </c>
      <c r="C153" t="s">
        <v>26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">
      <c r="A154" t="s">
        <v>79</v>
      </c>
      <c r="B154" t="s">
        <v>28</v>
      </c>
      <c r="C154" t="s">
        <v>26</v>
      </c>
      <c r="D154">
        <v>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">
      <c r="A155" t="s">
        <v>80</v>
      </c>
      <c r="B155" t="s">
        <v>25</v>
      </c>
      <c r="C155" t="s">
        <v>26</v>
      </c>
      <c r="D155">
        <v>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 t="s">
        <v>80</v>
      </c>
      <c r="B156" t="s">
        <v>27</v>
      </c>
      <c r="C156" t="s">
        <v>26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 t="s">
        <v>80</v>
      </c>
      <c r="B157" t="s">
        <v>28</v>
      </c>
      <c r="C157" t="s">
        <v>26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">
      <c r="A158" t="s">
        <v>81</v>
      </c>
      <c r="B158" t="s">
        <v>25</v>
      </c>
      <c r="C158" t="s">
        <v>26</v>
      </c>
      <c r="D158">
        <v>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">
      <c r="A159" t="s">
        <v>81</v>
      </c>
      <c r="B159" t="s">
        <v>27</v>
      </c>
      <c r="C159" t="s">
        <v>26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">
      <c r="A160" t="s">
        <v>81</v>
      </c>
      <c r="B160" t="s">
        <v>28</v>
      </c>
      <c r="C160" t="s">
        <v>26</v>
      </c>
      <c r="D160">
        <v>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">
      <c r="A161" t="s">
        <v>82</v>
      </c>
      <c r="B161" t="s">
        <v>25</v>
      </c>
      <c r="C161" t="s">
        <v>26</v>
      </c>
      <c r="D161">
        <v>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">
      <c r="A162" t="s">
        <v>82</v>
      </c>
      <c r="B162" t="s">
        <v>27</v>
      </c>
      <c r="C162" t="s">
        <v>26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">
      <c r="A163" t="s">
        <v>82</v>
      </c>
      <c r="B163" t="s">
        <v>28</v>
      </c>
      <c r="C163" t="s">
        <v>26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">
      <c r="A164" t="s">
        <v>83</v>
      </c>
      <c r="B164" t="s">
        <v>25</v>
      </c>
      <c r="C164" t="s">
        <v>26</v>
      </c>
      <c r="D164">
        <v>4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</row>
    <row r="165" spans="1:12" x14ac:dyDescent="0.2">
      <c r="A165" t="s">
        <v>83</v>
      </c>
      <c r="B165" t="s">
        <v>27</v>
      </c>
      <c r="C165" t="s">
        <v>26</v>
      </c>
      <c r="D165">
        <v>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">
      <c r="A166" t="s">
        <v>83</v>
      </c>
      <c r="B166" t="s">
        <v>28</v>
      </c>
      <c r="C166" t="s">
        <v>26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 t="s">
        <v>84</v>
      </c>
      <c r="B167" t="s">
        <v>25</v>
      </c>
      <c r="C167" t="s">
        <v>26</v>
      </c>
      <c r="D167">
        <v>2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">
      <c r="A168" t="s">
        <v>84</v>
      </c>
      <c r="B168" t="s">
        <v>27</v>
      </c>
      <c r="C168" t="s">
        <v>26</v>
      </c>
      <c r="D168">
        <v>3</v>
      </c>
      <c r="E168">
        <v>2</v>
      </c>
      <c r="F168">
        <v>0</v>
      </c>
      <c r="G168">
        <v>1</v>
      </c>
      <c r="H168">
        <v>0</v>
      </c>
      <c r="I168">
        <v>0</v>
      </c>
      <c r="J168">
        <v>1</v>
      </c>
      <c r="K168">
        <v>0</v>
      </c>
      <c r="L168">
        <v>0</v>
      </c>
    </row>
    <row r="169" spans="1:12" x14ac:dyDescent="0.2">
      <c r="A169" t="s">
        <v>84</v>
      </c>
      <c r="B169" t="s">
        <v>28</v>
      </c>
      <c r="C169" t="s">
        <v>26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">
      <c r="A170" t="s">
        <v>85</v>
      </c>
      <c r="B170" t="s">
        <v>25</v>
      </c>
      <c r="C170" t="s">
        <v>26</v>
      </c>
      <c r="D170">
        <v>2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 t="s">
        <v>85</v>
      </c>
      <c r="B171" t="s">
        <v>27</v>
      </c>
      <c r="C171" t="s">
        <v>26</v>
      </c>
      <c r="D171">
        <v>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">
      <c r="A172" t="s">
        <v>85</v>
      </c>
      <c r="B172" t="s">
        <v>28</v>
      </c>
      <c r="C172" t="s">
        <v>26</v>
      </c>
      <c r="D172">
        <v>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">
      <c r="A173" t="s">
        <v>86</v>
      </c>
      <c r="B173" t="s">
        <v>25</v>
      </c>
      <c r="C173" t="s">
        <v>34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">
      <c r="A174" t="s">
        <v>86</v>
      </c>
      <c r="B174" t="s">
        <v>27</v>
      </c>
      <c r="C174" t="s">
        <v>26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">
      <c r="A175" t="s">
        <v>86</v>
      </c>
      <c r="B175" t="s">
        <v>28</v>
      </c>
      <c r="C175" t="s">
        <v>26</v>
      </c>
      <c r="D175">
        <v>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 t="s">
        <v>87</v>
      </c>
      <c r="B176" t="s">
        <v>25</v>
      </c>
      <c r="C176" t="s">
        <v>26</v>
      </c>
      <c r="D176">
        <v>3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">
      <c r="A177" t="s">
        <v>87</v>
      </c>
      <c r="B177" t="s">
        <v>27</v>
      </c>
      <c r="C177" t="s">
        <v>26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">
      <c r="A178" t="s">
        <v>87</v>
      </c>
      <c r="B178" t="s">
        <v>28</v>
      </c>
      <c r="C178" t="s">
        <v>26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">
      <c r="A179" t="s">
        <v>88</v>
      </c>
      <c r="B179" t="s">
        <v>25</v>
      </c>
      <c r="C179" t="s">
        <v>26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">
      <c r="A180" t="s">
        <v>88</v>
      </c>
      <c r="B180" t="s">
        <v>27</v>
      </c>
      <c r="C180" t="s">
        <v>26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">
      <c r="A181" t="s">
        <v>88</v>
      </c>
      <c r="B181" t="s">
        <v>28</v>
      </c>
      <c r="C181" t="s">
        <v>26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">
      <c r="A182" t="s">
        <v>89</v>
      </c>
      <c r="B182" t="s">
        <v>25</v>
      </c>
      <c r="C182" t="s">
        <v>26</v>
      </c>
      <c r="D182">
        <v>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">
      <c r="A183" t="s">
        <v>89</v>
      </c>
      <c r="B183" t="s">
        <v>27</v>
      </c>
      <c r="C183" t="s">
        <v>26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2">
      <c r="A184" t="s">
        <v>89</v>
      </c>
      <c r="B184" t="s">
        <v>28</v>
      </c>
      <c r="C184" t="s">
        <v>26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">
      <c r="A185" t="s">
        <v>90</v>
      </c>
      <c r="B185" t="s">
        <v>25</v>
      </c>
      <c r="C185" t="s">
        <v>34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">
      <c r="A186" t="s">
        <v>90</v>
      </c>
      <c r="B186" t="s">
        <v>27</v>
      </c>
      <c r="C186" t="s">
        <v>26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">
      <c r="A187" t="s">
        <v>90</v>
      </c>
      <c r="B187" t="s">
        <v>28</v>
      </c>
      <c r="C187" t="s">
        <v>26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">
      <c r="A188" t="s">
        <v>91</v>
      </c>
      <c r="B188" t="s">
        <v>25</v>
      </c>
      <c r="C188" t="s">
        <v>26</v>
      </c>
      <c r="D188">
        <v>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">
      <c r="A189" t="s">
        <v>91</v>
      </c>
      <c r="B189" t="s">
        <v>27</v>
      </c>
      <c r="C189" t="s">
        <v>26</v>
      </c>
      <c r="D189">
        <v>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">
      <c r="A190" t="s">
        <v>91</v>
      </c>
      <c r="B190" t="s">
        <v>28</v>
      </c>
      <c r="C190" t="s">
        <v>26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">
      <c r="A191" t="s">
        <v>92</v>
      </c>
      <c r="B191" t="s">
        <v>25</v>
      </c>
      <c r="C191" t="s">
        <v>26</v>
      </c>
      <c r="D191">
        <v>4</v>
      </c>
      <c r="E191">
        <v>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">
      <c r="A192" t="s">
        <v>92</v>
      </c>
      <c r="B192" t="s">
        <v>27</v>
      </c>
      <c r="C192" t="s">
        <v>26</v>
      </c>
      <c r="D192">
        <v>3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">
      <c r="A193" t="s">
        <v>92</v>
      </c>
      <c r="B193" t="s">
        <v>28</v>
      </c>
      <c r="C193" t="s">
        <v>26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">
      <c r="A194" t="s">
        <v>93</v>
      </c>
      <c r="B194" t="s">
        <v>25</v>
      </c>
      <c r="C194" t="s">
        <v>26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">
      <c r="A195" t="s">
        <v>93</v>
      </c>
      <c r="B195" t="s">
        <v>27</v>
      </c>
      <c r="C195" t="s">
        <v>26</v>
      </c>
      <c r="D195">
        <v>4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">
      <c r="A196" t="s">
        <v>93</v>
      </c>
      <c r="B196" t="s">
        <v>28</v>
      </c>
      <c r="C196" t="s">
        <v>26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">
      <c r="A197" t="s">
        <v>94</v>
      </c>
      <c r="B197" t="s">
        <v>25</v>
      </c>
      <c r="C197" t="s">
        <v>26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 t="s">
        <v>94</v>
      </c>
      <c r="B198" t="s">
        <v>27</v>
      </c>
      <c r="C198" t="s">
        <v>26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">
      <c r="A199" t="s">
        <v>94</v>
      </c>
      <c r="B199" t="s">
        <v>28</v>
      </c>
      <c r="C199" t="s">
        <v>26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">
      <c r="A200" t="s">
        <v>95</v>
      </c>
      <c r="B200" t="s">
        <v>25</v>
      </c>
      <c r="C200" t="s">
        <v>26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">
      <c r="A201" t="s">
        <v>95</v>
      </c>
      <c r="B201" t="s">
        <v>27</v>
      </c>
      <c r="C201" t="s">
        <v>26</v>
      </c>
      <c r="D201">
        <v>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">
      <c r="A202" t="s">
        <v>95</v>
      </c>
      <c r="B202" t="s">
        <v>28</v>
      </c>
      <c r="C202" t="s">
        <v>26</v>
      </c>
      <c r="D202">
        <v>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">
      <c r="A203" t="s">
        <v>96</v>
      </c>
      <c r="B203" t="s">
        <v>25</v>
      </c>
      <c r="C203" t="s">
        <v>26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">
      <c r="A204" t="s">
        <v>96</v>
      </c>
      <c r="B204" t="s">
        <v>27</v>
      </c>
      <c r="C204" t="s">
        <v>26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">
      <c r="A205" t="s">
        <v>96</v>
      </c>
      <c r="B205" t="s">
        <v>28</v>
      </c>
      <c r="C205" t="s">
        <v>26</v>
      </c>
      <c r="D205">
        <v>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">
      <c r="A206" t="s">
        <v>97</v>
      </c>
      <c r="B206" t="s">
        <v>25</v>
      </c>
      <c r="C206" t="s">
        <v>26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">
      <c r="A207" t="s">
        <v>97</v>
      </c>
      <c r="B207" t="s">
        <v>27</v>
      </c>
      <c r="C207" t="s">
        <v>26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">
      <c r="A208" t="s">
        <v>97</v>
      </c>
      <c r="B208" t="s">
        <v>28</v>
      </c>
      <c r="C208" t="s">
        <v>26</v>
      </c>
      <c r="D208">
        <v>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 t="s">
        <v>98</v>
      </c>
      <c r="B209" t="s">
        <v>25</v>
      </c>
      <c r="C209" t="s">
        <v>26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">
      <c r="A210" t="s">
        <v>98</v>
      </c>
      <c r="B210" t="s">
        <v>27</v>
      </c>
      <c r="C210" t="s">
        <v>26</v>
      </c>
      <c r="D210">
        <v>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">
      <c r="A211" t="s">
        <v>98</v>
      </c>
      <c r="B211" t="s">
        <v>28</v>
      </c>
      <c r="C211" t="s">
        <v>26</v>
      </c>
      <c r="D211">
        <v>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">
      <c r="A212" t="s">
        <v>99</v>
      </c>
      <c r="B212" t="s">
        <v>25</v>
      </c>
      <c r="C212" t="s">
        <v>26</v>
      </c>
      <c r="D212">
        <v>0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">
      <c r="A213" t="s">
        <v>99</v>
      </c>
      <c r="B213" t="s">
        <v>27</v>
      </c>
      <c r="C213" t="s">
        <v>26</v>
      </c>
      <c r="D213">
        <v>2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">
      <c r="A214" t="s">
        <v>99</v>
      </c>
      <c r="B214" t="s">
        <v>28</v>
      </c>
      <c r="C214" t="s">
        <v>26</v>
      </c>
      <c r="D214">
        <v>3</v>
      </c>
      <c r="E214">
        <v>2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">
      <c r="A215" t="s">
        <v>100</v>
      </c>
      <c r="B215" t="s">
        <v>25</v>
      </c>
      <c r="C215" t="s">
        <v>26</v>
      </c>
      <c r="D215">
        <v>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">
      <c r="A216" t="s">
        <v>100</v>
      </c>
      <c r="B216" t="s">
        <v>27</v>
      </c>
      <c r="C216" t="s">
        <v>26</v>
      </c>
      <c r="D216">
        <v>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">
      <c r="A217" t="s">
        <v>100</v>
      </c>
      <c r="B217" t="s">
        <v>28</v>
      </c>
      <c r="C217" t="s">
        <v>26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">
      <c r="A218" t="s">
        <v>101</v>
      </c>
      <c r="B218" t="s">
        <v>25</v>
      </c>
      <c r="C218" t="s">
        <v>26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">
      <c r="A219" t="s">
        <v>101</v>
      </c>
      <c r="B219" t="s">
        <v>27</v>
      </c>
      <c r="C219" t="s">
        <v>26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">
      <c r="A220" t="s">
        <v>101</v>
      </c>
      <c r="B220" t="s">
        <v>28</v>
      </c>
      <c r="C220" t="s">
        <v>26</v>
      </c>
      <c r="D220">
        <v>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">
      <c r="A221" t="s">
        <v>102</v>
      </c>
      <c r="B221" t="s">
        <v>25</v>
      </c>
      <c r="C221" t="s">
        <v>26</v>
      </c>
      <c r="D221">
        <v>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">
      <c r="A222" t="s">
        <v>102</v>
      </c>
      <c r="B222" t="s">
        <v>27</v>
      </c>
      <c r="C222" t="s">
        <v>26</v>
      </c>
      <c r="D222">
        <v>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">
      <c r="A223" t="s">
        <v>102</v>
      </c>
      <c r="B223" t="s">
        <v>28</v>
      </c>
      <c r="C223" t="s">
        <v>26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">
      <c r="A224" t="s">
        <v>103</v>
      </c>
      <c r="B224" t="s">
        <v>25</v>
      </c>
      <c r="C224" t="s">
        <v>26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">
      <c r="A225" t="s">
        <v>103</v>
      </c>
      <c r="B225" t="s">
        <v>27</v>
      </c>
      <c r="C225" t="s">
        <v>26</v>
      </c>
      <c r="D225">
        <v>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">
      <c r="A226" t="s">
        <v>103</v>
      </c>
      <c r="B226" t="s">
        <v>28</v>
      </c>
      <c r="C226" t="s">
        <v>34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">
      <c r="A227" t="s">
        <v>104</v>
      </c>
      <c r="B227" t="s">
        <v>25</v>
      </c>
      <c r="C227" t="s">
        <v>26</v>
      </c>
      <c r="D227">
        <v>3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</row>
    <row r="228" spans="1:12" x14ac:dyDescent="0.2">
      <c r="A228" t="s">
        <v>104</v>
      </c>
      <c r="B228" t="s">
        <v>27</v>
      </c>
      <c r="C228" t="s">
        <v>26</v>
      </c>
      <c r="D228">
        <v>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">
      <c r="A229" t="s">
        <v>104</v>
      </c>
      <c r="B229" t="s">
        <v>28</v>
      </c>
      <c r="C229" t="s">
        <v>26</v>
      </c>
      <c r="D229">
        <v>3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">
      <c r="A230" t="s">
        <v>105</v>
      </c>
      <c r="B230" t="s">
        <v>25</v>
      </c>
      <c r="C230" t="s">
        <v>34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">
      <c r="A231" t="s">
        <v>105</v>
      </c>
      <c r="B231" t="s">
        <v>27</v>
      </c>
      <c r="C231" t="s">
        <v>26</v>
      </c>
      <c r="D231">
        <v>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">
      <c r="A232" t="s">
        <v>105</v>
      </c>
      <c r="B232" t="s">
        <v>28</v>
      </c>
      <c r="C232" t="s">
        <v>26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">
      <c r="A233" t="s">
        <v>106</v>
      </c>
      <c r="B233" t="s">
        <v>25</v>
      </c>
      <c r="C233" t="s">
        <v>26</v>
      </c>
      <c r="D233">
        <v>3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">
      <c r="A234" t="s">
        <v>106</v>
      </c>
      <c r="B234" t="s">
        <v>27</v>
      </c>
      <c r="C234" t="s">
        <v>26</v>
      </c>
      <c r="D234">
        <v>3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">
      <c r="A235" t="s">
        <v>106</v>
      </c>
      <c r="B235" t="s">
        <v>28</v>
      </c>
      <c r="C235" t="s">
        <v>26</v>
      </c>
      <c r="D235">
        <v>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">
      <c r="A236" t="s">
        <v>107</v>
      </c>
      <c r="B236" t="s">
        <v>25</v>
      </c>
      <c r="C236" t="s">
        <v>26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">
      <c r="A237" t="s">
        <v>107</v>
      </c>
      <c r="B237" t="s">
        <v>27</v>
      </c>
      <c r="C237" t="s">
        <v>26</v>
      </c>
      <c r="D237">
        <v>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">
      <c r="A238" t="s">
        <v>107</v>
      </c>
      <c r="B238" t="s">
        <v>28</v>
      </c>
      <c r="C238" t="s">
        <v>26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">
      <c r="A239" t="s">
        <v>108</v>
      </c>
      <c r="B239" t="s">
        <v>25</v>
      </c>
      <c r="C239" t="s">
        <v>26</v>
      </c>
      <c r="D239">
        <v>2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">
      <c r="A240" t="s">
        <v>108</v>
      </c>
      <c r="B240" t="s">
        <v>27</v>
      </c>
      <c r="C240" t="s">
        <v>26</v>
      </c>
      <c r="D240">
        <v>1</v>
      </c>
      <c r="E240">
        <v>3</v>
      </c>
      <c r="F240">
        <v>0</v>
      </c>
      <c r="G240">
        <v>1</v>
      </c>
      <c r="H240">
        <v>0</v>
      </c>
      <c r="I240">
        <v>0</v>
      </c>
      <c r="J240">
        <v>3</v>
      </c>
      <c r="K240">
        <v>0</v>
      </c>
      <c r="L240">
        <v>0</v>
      </c>
    </row>
    <row r="241" spans="1:12" x14ac:dyDescent="0.2">
      <c r="A241" t="s">
        <v>108</v>
      </c>
      <c r="B241" t="s">
        <v>28</v>
      </c>
      <c r="C241" t="s">
        <v>26</v>
      </c>
      <c r="D241">
        <v>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">
      <c r="A242" t="s">
        <v>109</v>
      </c>
      <c r="B242" t="s">
        <v>25</v>
      </c>
      <c r="C242" t="s">
        <v>26</v>
      </c>
      <c r="D242">
        <v>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">
      <c r="A243" t="s">
        <v>109</v>
      </c>
      <c r="B243" t="s">
        <v>27</v>
      </c>
      <c r="C243" t="s">
        <v>26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">
      <c r="A244" t="s">
        <v>109</v>
      </c>
      <c r="B244" t="s">
        <v>28</v>
      </c>
      <c r="C244" t="s">
        <v>26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">
      <c r="A245" t="s">
        <v>110</v>
      </c>
      <c r="B245" t="s">
        <v>25</v>
      </c>
      <c r="C245" t="s">
        <v>26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">
      <c r="A246" t="s">
        <v>110</v>
      </c>
      <c r="B246" t="s">
        <v>27</v>
      </c>
      <c r="C246" t="s">
        <v>26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</row>
    <row r="247" spans="1:12" x14ac:dyDescent="0.2">
      <c r="A247" t="s">
        <v>110</v>
      </c>
      <c r="B247" t="s">
        <v>28</v>
      </c>
      <c r="C247" t="s">
        <v>26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">
      <c r="A248" t="s">
        <v>111</v>
      </c>
      <c r="B248" t="s">
        <v>25</v>
      </c>
      <c r="C248" t="s">
        <v>26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A249" t="s">
        <v>111</v>
      </c>
      <c r="B249" t="s">
        <v>27</v>
      </c>
      <c r="C249" t="s">
        <v>26</v>
      </c>
      <c r="D249">
        <v>2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">
      <c r="A250" t="s">
        <v>111</v>
      </c>
      <c r="B250" t="s">
        <v>28</v>
      </c>
      <c r="C250" t="s">
        <v>26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">
      <c r="A251" t="s">
        <v>112</v>
      </c>
      <c r="B251" t="s">
        <v>25</v>
      </c>
      <c r="C251" t="s">
        <v>26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">
      <c r="A252" t="s">
        <v>112</v>
      </c>
      <c r="B252" t="s">
        <v>27</v>
      </c>
      <c r="C252" t="s">
        <v>26</v>
      </c>
      <c r="D252">
        <v>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">
      <c r="A253" t="s">
        <v>112</v>
      </c>
      <c r="B253" t="s">
        <v>28</v>
      </c>
      <c r="C253" t="s">
        <v>26</v>
      </c>
      <c r="D253">
        <v>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">
      <c r="A254" t="s">
        <v>113</v>
      </c>
      <c r="B254" t="s">
        <v>25</v>
      </c>
      <c r="C254" t="s">
        <v>26</v>
      </c>
      <c r="D254">
        <v>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">
      <c r="A255" t="s">
        <v>113</v>
      </c>
      <c r="B255" t="s">
        <v>27</v>
      </c>
      <c r="C255" t="s">
        <v>26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">
      <c r="A256" t="s">
        <v>113</v>
      </c>
      <c r="B256" t="s">
        <v>28</v>
      </c>
      <c r="C256" t="s">
        <v>26</v>
      </c>
      <c r="D256">
        <v>2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">
      <c r="A257" t="s">
        <v>114</v>
      </c>
      <c r="B257" t="s">
        <v>25</v>
      </c>
      <c r="C257" t="s">
        <v>26</v>
      </c>
      <c r="D257">
        <v>2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">
      <c r="A258" t="s">
        <v>114</v>
      </c>
      <c r="B258" t="s">
        <v>27</v>
      </c>
      <c r="C258" t="s">
        <v>26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">
      <c r="A259" t="s">
        <v>114</v>
      </c>
      <c r="B259" t="s">
        <v>28</v>
      </c>
      <c r="C259" t="s">
        <v>26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">
      <c r="A260" t="s">
        <v>115</v>
      </c>
      <c r="B260" t="s">
        <v>25</v>
      </c>
      <c r="C260" t="s">
        <v>26</v>
      </c>
      <c r="D260">
        <v>2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">
      <c r="A261" t="s">
        <v>115</v>
      </c>
      <c r="B261" t="s">
        <v>27</v>
      </c>
      <c r="C261" t="s">
        <v>26</v>
      </c>
      <c r="D261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">
      <c r="A262" t="s">
        <v>115</v>
      </c>
      <c r="B262" t="s">
        <v>28</v>
      </c>
      <c r="C262" t="s">
        <v>34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">
      <c r="A263" t="s">
        <v>116</v>
      </c>
      <c r="B263" t="s">
        <v>25</v>
      </c>
      <c r="C263" t="s">
        <v>26</v>
      </c>
      <c r="D263">
        <v>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">
      <c r="A264" t="s">
        <v>116</v>
      </c>
      <c r="B264" t="s">
        <v>27</v>
      </c>
      <c r="C264" t="s">
        <v>26</v>
      </c>
      <c r="D264">
        <v>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">
      <c r="A265" t="s">
        <v>116</v>
      </c>
      <c r="B265" t="s">
        <v>28</v>
      </c>
      <c r="C265" t="s">
        <v>26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">
      <c r="A266" t="s">
        <v>117</v>
      </c>
      <c r="B266" t="s">
        <v>25</v>
      </c>
      <c r="C266" t="s">
        <v>34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">
      <c r="A267" t="s">
        <v>117</v>
      </c>
      <c r="B267" t="s">
        <v>27</v>
      </c>
      <c r="C267" t="s">
        <v>26</v>
      </c>
      <c r="D267">
        <v>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">
      <c r="A268" t="s">
        <v>117</v>
      </c>
      <c r="B268" t="s">
        <v>28</v>
      </c>
      <c r="C268" t="s">
        <v>34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">
      <c r="A269" t="s">
        <v>118</v>
      </c>
      <c r="B269" t="s">
        <v>25</v>
      </c>
      <c r="C269" t="s">
        <v>34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">
      <c r="A270" t="s">
        <v>118</v>
      </c>
      <c r="B270" t="s">
        <v>27</v>
      </c>
      <c r="C270" t="s">
        <v>26</v>
      </c>
      <c r="D270">
        <v>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">
      <c r="A271" t="s">
        <v>118</v>
      </c>
      <c r="B271" t="s">
        <v>28</v>
      </c>
      <c r="C271" t="s">
        <v>26</v>
      </c>
      <c r="D271">
        <v>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">
      <c r="A272" t="s">
        <v>119</v>
      </c>
      <c r="B272" t="s">
        <v>25</v>
      </c>
      <c r="C272" t="s">
        <v>26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">
      <c r="A273" t="s">
        <v>119</v>
      </c>
      <c r="B273" t="s">
        <v>27</v>
      </c>
      <c r="C273" t="s">
        <v>26</v>
      </c>
      <c r="D273">
        <v>2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">
      <c r="A274" t="s">
        <v>119</v>
      </c>
      <c r="B274" t="s">
        <v>28</v>
      </c>
      <c r="C274" t="s">
        <v>26</v>
      </c>
      <c r="D274">
        <v>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">
      <c r="A275" t="s">
        <v>120</v>
      </c>
      <c r="B275" t="s">
        <v>25</v>
      </c>
      <c r="C275" t="s">
        <v>34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">
      <c r="A276" t="s">
        <v>120</v>
      </c>
      <c r="B276" t="s">
        <v>27</v>
      </c>
      <c r="C276" t="s">
        <v>26</v>
      </c>
      <c r="D276">
        <v>3</v>
      </c>
      <c r="E276">
        <v>1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">
      <c r="A277" t="s">
        <v>120</v>
      </c>
      <c r="B277" t="s">
        <v>28</v>
      </c>
      <c r="C277" t="s">
        <v>26</v>
      </c>
      <c r="D277">
        <v>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">
      <c r="A278" t="s">
        <v>121</v>
      </c>
      <c r="B278" t="s">
        <v>25</v>
      </c>
      <c r="C278" t="s">
        <v>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">
      <c r="A279" t="s">
        <v>121</v>
      </c>
      <c r="B279" t="s">
        <v>27</v>
      </c>
      <c r="C279" t="s">
        <v>26</v>
      </c>
      <c r="D279">
        <v>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 t="s">
        <v>121</v>
      </c>
      <c r="B280" t="s">
        <v>28</v>
      </c>
      <c r="C280" t="s">
        <v>26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">
      <c r="A281" t="s">
        <v>122</v>
      </c>
      <c r="B281" t="s">
        <v>25</v>
      </c>
      <c r="C281" t="s">
        <v>26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">
      <c r="A282" t="s">
        <v>122</v>
      </c>
      <c r="B282" t="s">
        <v>27</v>
      </c>
      <c r="C282" t="s">
        <v>26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">
      <c r="A283" t="s">
        <v>122</v>
      </c>
      <c r="B283" t="s">
        <v>28</v>
      </c>
      <c r="C283" t="s">
        <v>26</v>
      </c>
      <c r="D283">
        <v>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">
      <c r="A284" t="s">
        <v>123</v>
      </c>
      <c r="B284" t="s">
        <v>25</v>
      </c>
      <c r="C284" t="s">
        <v>26</v>
      </c>
      <c r="D284">
        <v>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">
      <c r="A285" t="s">
        <v>123</v>
      </c>
      <c r="B285" t="s">
        <v>27</v>
      </c>
      <c r="C285" t="s">
        <v>26</v>
      </c>
      <c r="D285">
        <v>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">
      <c r="A286" t="s">
        <v>123</v>
      </c>
      <c r="B286" t="s">
        <v>28</v>
      </c>
      <c r="C286" t="s">
        <v>26</v>
      </c>
      <c r="D286">
        <v>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">
      <c r="A287" t="s">
        <v>124</v>
      </c>
      <c r="B287" t="s">
        <v>25</v>
      </c>
      <c r="C287" t="s">
        <v>26</v>
      </c>
      <c r="D287">
        <v>3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">
      <c r="A288" t="s">
        <v>124</v>
      </c>
      <c r="B288" t="s">
        <v>27</v>
      </c>
      <c r="C288" t="s">
        <v>26</v>
      </c>
      <c r="D288">
        <v>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">
      <c r="A289" t="s">
        <v>124</v>
      </c>
      <c r="B289" t="s">
        <v>28</v>
      </c>
      <c r="C289" t="s">
        <v>26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">
      <c r="A290" t="s">
        <v>125</v>
      </c>
      <c r="B290" t="s">
        <v>25</v>
      </c>
      <c r="C290" t="s">
        <v>26</v>
      </c>
      <c r="D290">
        <v>3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">
      <c r="A291" t="s">
        <v>125</v>
      </c>
      <c r="B291" t="s">
        <v>27</v>
      </c>
      <c r="C291" t="s">
        <v>26</v>
      </c>
      <c r="D291">
        <v>3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">
      <c r="A292" t="s">
        <v>125</v>
      </c>
      <c r="B292" t="s">
        <v>28</v>
      </c>
      <c r="C292" t="s">
        <v>26</v>
      </c>
      <c r="D292">
        <v>2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">
      <c r="A293" t="s">
        <v>126</v>
      </c>
      <c r="B293" t="s">
        <v>25</v>
      </c>
      <c r="C293" t="s">
        <v>26</v>
      </c>
      <c r="D293">
        <v>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">
      <c r="A294" t="s">
        <v>126</v>
      </c>
      <c r="B294" t="s">
        <v>27</v>
      </c>
      <c r="C294" t="s">
        <v>26</v>
      </c>
      <c r="D294">
        <v>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">
      <c r="A295" t="s">
        <v>126</v>
      </c>
      <c r="B295" t="s">
        <v>28</v>
      </c>
      <c r="C295" t="s">
        <v>26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">
      <c r="A296" t="s">
        <v>127</v>
      </c>
      <c r="B296" t="s">
        <v>25</v>
      </c>
      <c r="C296" t="s">
        <v>26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A297" t="s">
        <v>127</v>
      </c>
      <c r="B297" t="s">
        <v>27</v>
      </c>
      <c r="C297" t="s">
        <v>26</v>
      </c>
      <c r="D297">
        <v>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">
      <c r="A298" t="s">
        <v>127</v>
      </c>
      <c r="B298" t="s">
        <v>28</v>
      </c>
      <c r="C298" t="s">
        <v>26</v>
      </c>
      <c r="D298">
        <v>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">
      <c r="A299" t="s">
        <v>128</v>
      </c>
      <c r="B299" t="s">
        <v>25</v>
      </c>
      <c r="C299" t="s">
        <v>34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">
      <c r="A300" t="s">
        <v>128</v>
      </c>
      <c r="B300" t="s">
        <v>27</v>
      </c>
      <c r="C300" t="s">
        <v>26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">
      <c r="A301" t="s">
        <v>128</v>
      </c>
      <c r="B301" t="s">
        <v>28</v>
      </c>
      <c r="C301" t="s">
        <v>26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">
      <c r="A302" t="s">
        <v>129</v>
      </c>
      <c r="B302" t="s">
        <v>25</v>
      </c>
      <c r="C302" t="s">
        <v>26</v>
      </c>
      <c r="D302">
        <v>3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">
      <c r="A303" t="s">
        <v>129</v>
      </c>
      <c r="B303" t="s">
        <v>27</v>
      </c>
      <c r="C303" t="s">
        <v>26</v>
      </c>
      <c r="D303">
        <v>2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">
      <c r="A304" t="s">
        <v>129</v>
      </c>
      <c r="B304" t="s">
        <v>28</v>
      </c>
      <c r="C304" t="s">
        <v>26</v>
      </c>
      <c r="D304">
        <v>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 t="s">
        <v>130</v>
      </c>
      <c r="B305" t="s">
        <v>25</v>
      </c>
      <c r="C305" t="s">
        <v>26</v>
      </c>
      <c r="D305">
        <v>2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">
      <c r="A306" t="s">
        <v>130</v>
      </c>
      <c r="B306" t="s">
        <v>27</v>
      </c>
      <c r="C306" t="s">
        <v>26</v>
      </c>
      <c r="D306">
        <v>4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">
      <c r="A307" t="s">
        <v>130</v>
      </c>
      <c r="B307" t="s">
        <v>28</v>
      </c>
      <c r="C307" t="s">
        <v>26</v>
      </c>
      <c r="D307">
        <v>3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">
      <c r="A308" t="s">
        <v>131</v>
      </c>
      <c r="B308" t="s">
        <v>25</v>
      </c>
      <c r="C308" t="s">
        <v>26</v>
      </c>
      <c r="D308">
        <v>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">
      <c r="A309" t="s">
        <v>131</v>
      </c>
      <c r="B309" t="s">
        <v>27</v>
      </c>
      <c r="C309" t="s">
        <v>26</v>
      </c>
      <c r="D309">
        <v>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">
      <c r="A310" t="s">
        <v>131</v>
      </c>
      <c r="B310" t="s">
        <v>28</v>
      </c>
      <c r="C310" t="s">
        <v>26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">
      <c r="A311" t="s">
        <v>132</v>
      </c>
      <c r="B311" t="s">
        <v>25</v>
      </c>
      <c r="C311" t="s">
        <v>26</v>
      </c>
      <c r="D311">
        <v>4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</row>
    <row r="312" spans="1:12" x14ac:dyDescent="0.2">
      <c r="A312" t="s">
        <v>132</v>
      </c>
      <c r="B312" t="s">
        <v>27</v>
      </c>
      <c r="C312" t="s">
        <v>26</v>
      </c>
      <c r="D312">
        <v>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">
      <c r="A313" t="s">
        <v>132</v>
      </c>
      <c r="B313" t="s">
        <v>28</v>
      </c>
      <c r="C313" t="s">
        <v>26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">
      <c r="A314" t="s">
        <v>133</v>
      </c>
      <c r="B314" t="s">
        <v>25</v>
      </c>
      <c r="C314" t="s">
        <v>26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">
      <c r="A315" t="s">
        <v>133</v>
      </c>
      <c r="B315" t="s">
        <v>27</v>
      </c>
      <c r="C315" t="s">
        <v>26</v>
      </c>
      <c r="D315">
        <v>3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">
      <c r="A316" t="s">
        <v>133</v>
      </c>
      <c r="B316" t="s">
        <v>28</v>
      </c>
      <c r="C316" t="s">
        <v>26</v>
      </c>
      <c r="D316">
        <v>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">
      <c r="A317" t="s">
        <v>134</v>
      </c>
      <c r="B317" t="s">
        <v>25</v>
      </c>
      <c r="C317" t="s">
        <v>26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">
      <c r="A318" t="s">
        <v>134</v>
      </c>
      <c r="B318" t="s">
        <v>27</v>
      </c>
      <c r="C318" t="s">
        <v>26</v>
      </c>
      <c r="D318">
        <v>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">
      <c r="A319" t="s">
        <v>134</v>
      </c>
      <c r="B319" t="s">
        <v>28</v>
      </c>
      <c r="C319" t="s">
        <v>34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">
      <c r="A320" t="s">
        <v>135</v>
      </c>
      <c r="B320" t="s">
        <v>25</v>
      </c>
      <c r="C320" t="s">
        <v>26</v>
      </c>
      <c r="D320">
        <v>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">
      <c r="A321" t="s">
        <v>135</v>
      </c>
      <c r="B321" t="s">
        <v>27</v>
      </c>
      <c r="C321" t="s">
        <v>26</v>
      </c>
      <c r="D321">
        <v>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">
      <c r="A322" t="s">
        <v>135</v>
      </c>
      <c r="B322" t="s">
        <v>28</v>
      </c>
      <c r="C322" t="s">
        <v>26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">
      <c r="A323" t="s">
        <v>136</v>
      </c>
      <c r="B323" t="s">
        <v>25</v>
      </c>
      <c r="C323" t="s">
        <v>26</v>
      </c>
      <c r="D323">
        <v>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">
      <c r="A324" t="s">
        <v>136</v>
      </c>
      <c r="B324" t="s">
        <v>27</v>
      </c>
      <c r="C324" t="s">
        <v>26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">
      <c r="A325" t="s">
        <v>136</v>
      </c>
      <c r="B325" t="s">
        <v>28</v>
      </c>
      <c r="C325" t="s">
        <v>26</v>
      </c>
      <c r="D325">
        <v>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">
      <c r="A326" t="s">
        <v>137</v>
      </c>
      <c r="B326" t="s">
        <v>25</v>
      </c>
      <c r="C326" t="s">
        <v>26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">
      <c r="A327" t="s">
        <v>137</v>
      </c>
      <c r="B327" t="s">
        <v>27</v>
      </c>
      <c r="C327" t="s">
        <v>26</v>
      </c>
      <c r="D327">
        <v>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">
      <c r="A328" t="s">
        <v>137</v>
      </c>
      <c r="B328" t="s">
        <v>28</v>
      </c>
      <c r="C328" t="s">
        <v>26</v>
      </c>
      <c r="D328">
        <v>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">
      <c r="A329" t="s">
        <v>138</v>
      </c>
      <c r="B329" t="s">
        <v>25</v>
      </c>
      <c r="C329" t="s">
        <v>26</v>
      </c>
      <c r="D329">
        <v>2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">
      <c r="A330" t="s">
        <v>138</v>
      </c>
      <c r="B330" t="s">
        <v>27</v>
      </c>
      <c r="C330" t="s">
        <v>26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">
      <c r="A331" t="s">
        <v>138</v>
      </c>
      <c r="B331" t="s">
        <v>28</v>
      </c>
      <c r="C331" t="s">
        <v>26</v>
      </c>
      <c r="D331">
        <v>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">
      <c r="A332" t="s">
        <v>139</v>
      </c>
      <c r="B332" t="s">
        <v>25</v>
      </c>
      <c r="C332" t="s">
        <v>26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">
      <c r="A333" t="s">
        <v>139</v>
      </c>
      <c r="B333" t="s">
        <v>27</v>
      </c>
      <c r="C333" t="s">
        <v>26</v>
      </c>
      <c r="D333">
        <v>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">
      <c r="A334" t="s">
        <v>139</v>
      </c>
      <c r="B334" t="s">
        <v>28</v>
      </c>
      <c r="C334" t="s">
        <v>26</v>
      </c>
      <c r="D334">
        <v>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">
      <c r="A335" t="s">
        <v>140</v>
      </c>
      <c r="B335" t="s">
        <v>25</v>
      </c>
      <c r="C335" t="s">
        <v>26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">
      <c r="A336" t="s">
        <v>140</v>
      </c>
      <c r="B336" t="s">
        <v>27</v>
      </c>
      <c r="C336" t="s">
        <v>26</v>
      </c>
      <c r="D336">
        <v>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">
      <c r="A337" t="s">
        <v>140</v>
      </c>
      <c r="B337" t="s">
        <v>28</v>
      </c>
      <c r="C337" t="s">
        <v>26</v>
      </c>
      <c r="D337">
        <v>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">
      <c r="A338" t="s">
        <v>141</v>
      </c>
      <c r="B338" t="s">
        <v>25</v>
      </c>
      <c r="C338" t="s">
        <v>26</v>
      </c>
      <c r="D338">
        <v>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">
      <c r="A339" t="s">
        <v>141</v>
      </c>
      <c r="B339" t="s">
        <v>27</v>
      </c>
      <c r="C339" t="s">
        <v>26</v>
      </c>
      <c r="D339">
        <v>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">
      <c r="A340" t="s">
        <v>141</v>
      </c>
      <c r="B340" t="s">
        <v>28</v>
      </c>
      <c r="C340" t="s">
        <v>26</v>
      </c>
      <c r="D340">
        <v>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">
      <c r="A341" t="s">
        <v>142</v>
      </c>
      <c r="B341" t="s">
        <v>25</v>
      </c>
      <c r="C341" t="s">
        <v>26</v>
      </c>
      <c r="D341">
        <v>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">
      <c r="A342" t="s">
        <v>142</v>
      </c>
      <c r="B342" t="s">
        <v>27</v>
      </c>
      <c r="C342" t="s">
        <v>26</v>
      </c>
      <c r="D342">
        <v>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">
      <c r="A343" t="s">
        <v>142</v>
      </c>
      <c r="B343" t="s">
        <v>28</v>
      </c>
      <c r="C343" t="s">
        <v>26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">
      <c r="A344" t="s">
        <v>143</v>
      </c>
      <c r="B344" t="s">
        <v>25</v>
      </c>
      <c r="C344" t="s">
        <v>34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">
      <c r="A345" t="s">
        <v>143</v>
      </c>
      <c r="B345" t="s">
        <v>27</v>
      </c>
      <c r="C345" t="s">
        <v>26</v>
      </c>
      <c r="D345">
        <v>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">
      <c r="A346" t="s">
        <v>143</v>
      </c>
      <c r="B346" t="s">
        <v>28</v>
      </c>
      <c r="C346" t="s">
        <v>26</v>
      </c>
      <c r="D346">
        <v>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">
      <c r="A347" t="s">
        <v>144</v>
      </c>
      <c r="B347" t="s">
        <v>25</v>
      </c>
      <c r="C347" t="s">
        <v>26</v>
      </c>
      <c r="D347">
        <v>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">
      <c r="A348" t="s">
        <v>144</v>
      </c>
      <c r="B348" t="s">
        <v>27</v>
      </c>
      <c r="C348" t="s">
        <v>26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">
      <c r="A349" t="s">
        <v>144</v>
      </c>
      <c r="B349" t="s">
        <v>28</v>
      </c>
      <c r="C349" t="s">
        <v>26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">
      <c r="A350" t="s">
        <v>145</v>
      </c>
      <c r="B350" t="s">
        <v>25</v>
      </c>
      <c r="C350" t="s">
        <v>26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">
      <c r="A351" t="s">
        <v>145</v>
      </c>
      <c r="B351" t="s">
        <v>27</v>
      </c>
      <c r="C351" t="s">
        <v>26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">
      <c r="A352" t="s">
        <v>145</v>
      </c>
      <c r="B352" t="s">
        <v>28</v>
      </c>
      <c r="C352" t="s">
        <v>26</v>
      </c>
      <c r="D352">
        <v>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">
      <c r="A353" t="s">
        <v>146</v>
      </c>
      <c r="B353" t="s">
        <v>25</v>
      </c>
      <c r="C353" t="s">
        <v>26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">
      <c r="A354" t="s">
        <v>146</v>
      </c>
      <c r="B354" t="s">
        <v>27</v>
      </c>
      <c r="C354" t="s">
        <v>26</v>
      </c>
      <c r="D354">
        <v>3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">
      <c r="A355" t="s">
        <v>146</v>
      </c>
      <c r="B355" t="s">
        <v>28</v>
      </c>
      <c r="C355" t="s">
        <v>26</v>
      </c>
      <c r="D355">
        <v>4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">
      <c r="A356" t="s">
        <v>147</v>
      </c>
      <c r="B356" t="s">
        <v>25</v>
      </c>
      <c r="C356" t="s">
        <v>26</v>
      </c>
      <c r="D356">
        <v>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">
      <c r="A357" t="s">
        <v>147</v>
      </c>
      <c r="B357" t="s">
        <v>27</v>
      </c>
      <c r="C357" t="s">
        <v>26</v>
      </c>
      <c r="D357">
        <v>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">
      <c r="A358" t="s">
        <v>147</v>
      </c>
      <c r="B358" t="s">
        <v>28</v>
      </c>
      <c r="C358" t="s">
        <v>26</v>
      </c>
      <c r="D358">
        <v>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">
      <c r="A359" t="s">
        <v>148</v>
      </c>
      <c r="B359" t="s">
        <v>25</v>
      </c>
      <c r="C359" t="s">
        <v>26</v>
      </c>
      <c r="D359">
        <v>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">
      <c r="A360" t="s">
        <v>148</v>
      </c>
      <c r="B360" t="s">
        <v>27</v>
      </c>
      <c r="C360" t="s">
        <v>26</v>
      </c>
      <c r="D360">
        <v>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">
      <c r="A361" t="s">
        <v>148</v>
      </c>
      <c r="B361" t="s">
        <v>28</v>
      </c>
      <c r="C361" t="s">
        <v>26</v>
      </c>
      <c r="D361">
        <v>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">
      <c r="A362" t="s">
        <v>149</v>
      </c>
      <c r="B362" t="s">
        <v>25</v>
      </c>
      <c r="C362" t="s">
        <v>26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">
      <c r="A363" t="s">
        <v>149</v>
      </c>
      <c r="B363" t="s">
        <v>27</v>
      </c>
      <c r="C363" t="s">
        <v>26</v>
      </c>
      <c r="D363">
        <v>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">
      <c r="A364" t="s">
        <v>149</v>
      </c>
      <c r="B364" t="s">
        <v>28</v>
      </c>
      <c r="C364" t="s">
        <v>26</v>
      </c>
      <c r="D364">
        <v>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">
      <c r="A365" t="s">
        <v>150</v>
      </c>
      <c r="B365" t="s">
        <v>25</v>
      </c>
      <c r="C365" t="s">
        <v>26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">
      <c r="A366" t="s">
        <v>150</v>
      </c>
      <c r="B366" t="s">
        <v>27</v>
      </c>
      <c r="C366" t="s">
        <v>26</v>
      </c>
      <c r="D366">
        <v>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">
      <c r="A367" t="s">
        <v>150</v>
      </c>
      <c r="B367" t="s">
        <v>28</v>
      </c>
      <c r="C367" t="s">
        <v>26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">
      <c r="A368" t="s">
        <v>151</v>
      </c>
      <c r="B368" t="s">
        <v>25</v>
      </c>
      <c r="C368" t="s">
        <v>26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">
      <c r="A369" t="s">
        <v>151</v>
      </c>
      <c r="B369" t="s">
        <v>27</v>
      </c>
      <c r="C369" t="s">
        <v>26</v>
      </c>
      <c r="D369">
        <v>3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">
      <c r="A370" t="s">
        <v>151</v>
      </c>
      <c r="B370" t="s">
        <v>28</v>
      </c>
      <c r="C370" t="s">
        <v>26</v>
      </c>
      <c r="D370">
        <v>10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">
      <c r="A371" t="s">
        <v>152</v>
      </c>
      <c r="B371" t="s">
        <v>25</v>
      </c>
      <c r="C371" t="s">
        <v>26</v>
      </c>
      <c r="D371">
        <v>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">
      <c r="A372" t="s">
        <v>152</v>
      </c>
      <c r="B372" t="s">
        <v>27</v>
      </c>
      <c r="C372" t="s">
        <v>26</v>
      </c>
      <c r="D372">
        <v>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">
      <c r="A373" t="s">
        <v>152</v>
      </c>
      <c r="B373" t="s">
        <v>28</v>
      </c>
      <c r="C373" t="s">
        <v>26</v>
      </c>
      <c r="D373">
        <v>3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">
      <c r="A374" t="s">
        <v>153</v>
      </c>
      <c r="B374" t="s">
        <v>25</v>
      </c>
      <c r="C374" t="s">
        <v>26</v>
      </c>
      <c r="D374">
        <v>2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">
      <c r="A375" t="s">
        <v>153</v>
      </c>
      <c r="B375" t="s">
        <v>27</v>
      </c>
      <c r="C375" t="s">
        <v>26</v>
      </c>
      <c r="D375">
        <v>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">
      <c r="A376" t="s">
        <v>153</v>
      </c>
      <c r="B376" t="s">
        <v>28</v>
      </c>
      <c r="C376" t="s">
        <v>26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">
      <c r="A377" t="s">
        <v>154</v>
      </c>
      <c r="B377" t="s">
        <v>25</v>
      </c>
      <c r="C377" t="s">
        <v>26</v>
      </c>
      <c r="D377">
        <v>2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A378" t="s">
        <v>154</v>
      </c>
      <c r="B378" t="s">
        <v>27</v>
      </c>
      <c r="C378" t="s">
        <v>26</v>
      </c>
      <c r="D378">
        <v>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">
      <c r="A379" t="s">
        <v>154</v>
      </c>
      <c r="B379" t="s">
        <v>28</v>
      </c>
      <c r="C379" t="s">
        <v>26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">
      <c r="A380" t="s">
        <v>155</v>
      </c>
      <c r="B380" t="s">
        <v>25</v>
      </c>
      <c r="C380" t="s">
        <v>26</v>
      </c>
      <c r="D380">
        <v>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">
      <c r="A381" t="s">
        <v>155</v>
      </c>
      <c r="B381" t="s">
        <v>27</v>
      </c>
      <c r="C381" t="s">
        <v>26</v>
      </c>
      <c r="D381">
        <v>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">
      <c r="A382" t="s">
        <v>155</v>
      </c>
      <c r="B382" t="s">
        <v>28</v>
      </c>
      <c r="C382" t="s">
        <v>26</v>
      </c>
      <c r="D382">
        <v>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">
      <c r="A383" t="s">
        <v>156</v>
      </c>
      <c r="B383" t="s">
        <v>25</v>
      </c>
      <c r="C383" t="s">
        <v>26</v>
      </c>
      <c r="D383">
        <v>5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">
      <c r="A384" t="s">
        <v>156</v>
      </c>
      <c r="B384" t="s">
        <v>27</v>
      </c>
      <c r="C384" t="s">
        <v>26</v>
      </c>
      <c r="D384">
        <v>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">
      <c r="A385" t="s">
        <v>156</v>
      </c>
      <c r="B385" t="s">
        <v>28</v>
      </c>
      <c r="C385" t="s">
        <v>26</v>
      </c>
      <c r="D385">
        <v>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">
      <c r="A386" t="s">
        <v>157</v>
      </c>
      <c r="B386" t="s">
        <v>25</v>
      </c>
      <c r="C386" t="s">
        <v>26</v>
      </c>
      <c r="D386">
        <v>6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">
      <c r="A387" t="s">
        <v>157</v>
      </c>
      <c r="B387" t="s">
        <v>27</v>
      </c>
      <c r="C387" t="s">
        <v>26</v>
      </c>
      <c r="D387">
        <v>2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">
      <c r="A388" t="s">
        <v>157</v>
      </c>
      <c r="B388" t="s">
        <v>28</v>
      </c>
      <c r="C388" t="s">
        <v>26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">
      <c r="A389" t="s">
        <v>158</v>
      </c>
      <c r="B389" t="s">
        <v>25</v>
      </c>
      <c r="C389" t="s">
        <v>26</v>
      </c>
      <c r="D389">
        <v>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">
      <c r="A390" t="s">
        <v>158</v>
      </c>
      <c r="B390" t="s">
        <v>27</v>
      </c>
      <c r="C390" t="s">
        <v>26</v>
      </c>
      <c r="D390">
        <v>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 t="s">
        <v>158</v>
      </c>
      <c r="B391" t="s">
        <v>28</v>
      </c>
      <c r="C391" t="s">
        <v>26</v>
      </c>
      <c r="D391">
        <v>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">
      <c r="A392" t="s">
        <v>159</v>
      </c>
      <c r="B392" t="s">
        <v>25</v>
      </c>
      <c r="C392" t="s">
        <v>34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">
      <c r="A393" t="s">
        <v>159</v>
      </c>
      <c r="B393" t="s">
        <v>27</v>
      </c>
      <c r="C393" t="s">
        <v>26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">
      <c r="A394" t="s">
        <v>159</v>
      </c>
      <c r="B394" t="s">
        <v>28</v>
      </c>
      <c r="C394" t="s">
        <v>26</v>
      </c>
      <c r="D394">
        <v>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">
      <c r="A395" t="s">
        <v>160</v>
      </c>
      <c r="B395" t="s">
        <v>25</v>
      </c>
      <c r="C395" t="s">
        <v>26</v>
      </c>
      <c r="D395">
        <v>2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">
      <c r="A396" t="s">
        <v>160</v>
      </c>
      <c r="B396" t="s">
        <v>27</v>
      </c>
      <c r="C396" t="s">
        <v>26</v>
      </c>
      <c r="D396">
        <v>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">
      <c r="A397" t="s">
        <v>160</v>
      </c>
      <c r="B397" t="s">
        <v>28</v>
      </c>
      <c r="C397" t="s">
        <v>26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">
      <c r="A398" t="s">
        <v>161</v>
      </c>
      <c r="B398" t="s">
        <v>25</v>
      </c>
      <c r="C398" t="s">
        <v>26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">
      <c r="A399" t="s">
        <v>161</v>
      </c>
      <c r="B399" t="s">
        <v>27</v>
      </c>
      <c r="C399" t="s">
        <v>26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">
      <c r="A400" t="s">
        <v>161</v>
      </c>
      <c r="B400" t="s">
        <v>28</v>
      </c>
      <c r="C400" t="s">
        <v>26</v>
      </c>
      <c r="D400">
        <v>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">
      <c r="A401" t="s">
        <v>162</v>
      </c>
      <c r="B401" t="s">
        <v>25</v>
      </c>
      <c r="C401" t="s">
        <v>26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">
      <c r="A402" t="s">
        <v>162</v>
      </c>
      <c r="B402" t="s">
        <v>27</v>
      </c>
      <c r="C402" t="s">
        <v>26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">
      <c r="A403" t="s">
        <v>162</v>
      </c>
      <c r="B403" t="s">
        <v>28</v>
      </c>
      <c r="C403" t="s">
        <v>26</v>
      </c>
      <c r="D403">
        <v>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">
      <c r="A404" t="s">
        <v>163</v>
      </c>
      <c r="B404" t="s">
        <v>25</v>
      </c>
      <c r="C404" t="s">
        <v>34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">
      <c r="A405" t="s">
        <v>163</v>
      </c>
      <c r="B405" t="s">
        <v>27</v>
      </c>
      <c r="C405" t="s">
        <v>26</v>
      </c>
      <c r="D405">
        <v>1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">
      <c r="A406" t="s">
        <v>163</v>
      </c>
      <c r="B406" t="s">
        <v>28</v>
      </c>
      <c r="C406" t="s">
        <v>26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">
      <c r="A407" t="s">
        <v>164</v>
      </c>
      <c r="B407" t="s">
        <v>25</v>
      </c>
      <c r="C407" t="s">
        <v>26</v>
      </c>
      <c r="D407">
        <v>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">
      <c r="A408" t="s">
        <v>164</v>
      </c>
      <c r="B408" t="s">
        <v>27</v>
      </c>
      <c r="C408" t="s">
        <v>26</v>
      </c>
      <c r="D408">
        <v>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">
      <c r="A409" t="s">
        <v>164</v>
      </c>
      <c r="B409" t="s">
        <v>28</v>
      </c>
      <c r="C409" t="s">
        <v>26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">
      <c r="A410" t="s">
        <v>165</v>
      </c>
      <c r="B410" t="s">
        <v>25</v>
      </c>
      <c r="C410" t="s">
        <v>26</v>
      </c>
      <c r="D410">
        <v>3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">
      <c r="A411" t="s">
        <v>165</v>
      </c>
      <c r="B411" t="s">
        <v>27</v>
      </c>
      <c r="C411" t="s">
        <v>26</v>
      </c>
      <c r="D411">
        <v>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">
      <c r="A412" t="s">
        <v>165</v>
      </c>
      <c r="B412" t="s">
        <v>28</v>
      </c>
      <c r="C412" t="s">
        <v>26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selection activeCell="A20" sqref="A20:XFD20"/>
    </sheetView>
  </sheetViews>
  <sheetFormatPr baseColWidth="10" defaultColWidth="8.83203125" defaultRowHeight="15" x14ac:dyDescent="0.2"/>
  <cols>
    <col min="1" max="1" width="22" customWidth="1"/>
    <col min="2" max="5" width="14" customWidth="1"/>
  </cols>
  <sheetData>
    <row r="1" spans="1:5" x14ac:dyDescent="0.2">
      <c r="A1" s="4" t="s">
        <v>166</v>
      </c>
      <c r="B1" s="4" t="s">
        <v>25</v>
      </c>
      <c r="C1" s="4" t="s">
        <v>27</v>
      </c>
      <c r="D1" s="4" t="s">
        <v>28</v>
      </c>
      <c r="E1" s="4" t="s">
        <v>167</v>
      </c>
    </row>
    <row r="2" spans="1:5" x14ac:dyDescent="0.2">
      <c r="A2" s="2" t="s">
        <v>3</v>
      </c>
      <c r="B2" s="3">
        <f>SUMIF('Keyword Results'!$B:$B,"ChatGPT",'Keyword Results'!$D:$D)</f>
        <v>318</v>
      </c>
      <c r="C2" s="3">
        <f>SUMIF('Keyword Results'!$B:$B,"Claude",'Keyword Results'!$D:$D)</f>
        <v>385</v>
      </c>
      <c r="D2" s="3">
        <f>SUMIF('Keyword Results'!$B:$B,"Gemini",'Keyword Results'!$D:$D)</f>
        <v>386</v>
      </c>
      <c r="E2" s="3">
        <f t="shared" ref="E2:E22" si="0">SUM(B2:D2)</f>
        <v>1089</v>
      </c>
    </row>
    <row r="3" spans="1:5" x14ac:dyDescent="0.2">
      <c r="A3" s="2" t="s">
        <v>4</v>
      </c>
      <c r="B3" s="3">
        <f>SUMIF('Keyword Results'!$B:$B,"ChatGPT",'Keyword Results'!$E:$E)</f>
        <v>57</v>
      </c>
      <c r="C3" s="3">
        <f>SUMIF('Keyword Results'!$B:$B,"Claude",'Keyword Results'!$E:$E)</f>
        <v>31</v>
      </c>
      <c r="D3" s="3">
        <f>SUMIF('Keyword Results'!$B:$B,"Gemini",'Keyword Results'!$E:$E)</f>
        <v>22</v>
      </c>
      <c r="E3" s="3">
        <f t="shared" si="0"/>
        <v>110</v>
      </c>
    </row>
    <row r="4" spans="1:5" x14ac:dyDescent="0.2">
      <c r="A4" s="2" t="s">
        <v>5</v>
      </c>
      <c r="B4" s="3">
        <f>SUMIF('Keyword Results'!$B:$B,"ChatGPT",'Keyword Results'!$F:$F)</f>
        <v>0</v>
      </c>
      <c r="C4" s="3">
        <f>SUMIF('Keyword Results'!$B:$B,"Claude",'Keyword Results'!$F:$F)</f>
        <v>0</v>
      </c>
      <c r="D4" s="3">
        <f>SUMIF('Keyword Results'!$B:$B,"Gemini",'Keyword Results'!$F:$F)</f>
        <v>1</v>
      </c>
      <c r="E4" s="3">
        <f t="shared" si="0"/>
        <v>1</v>
      </c>
    </row>
    <row r="5" spans="1:5" x14ac:dyDescent="0.2">
      <c r="A5" s="2" t="s">
        <v>6</v>
      </c>
      <c r="B5" s="3">
        <f>SUMIF('Keyword Results'!$B:$B,"ChatGPT",'Keyword Results'!$G:$G)</f>
        <v>1</v>
      </c>
      <c r="C5" s="3">
        <f>SUMIF('Keyword Results'!$B:$B,"Claude",'Keyword Results'!$G:$G)</f>
        <v>9</v>
      </c>
      <c r="D5" s="3">
        <f>SUMIF('Keyword Results'!$B:$B,"Gemini",'Keyword Results'!$G:$G)</f>
        <v>4</v>
      </c>
      <c r="E5" s="3">
        <f t="shared" si="0"/>
        <v>14</v>
      </c>
    </row>
    <row r="6" spans="1:5" x14ac:dyDescent="0.2">
      <c r="A6" s="2" t="s">
        <v>7</v>
      </c>
      <c r="B6" s="3">
        <f>SUMIF('Keyword Results'!$B:$B,"ChatGPT",'Keyword Results'!$H:$H)</f>
        <v>0</v>
      </c>
      <c r="C6" s="3">
        <f>SUMIF('Keyword Results'!$B:$B,"Claude",'Keyword Results'!$H:$H)</f>
        <v>0</v>
      </c>
      <c r="D6" s="3">
        <f>SUMIF('Keyword Results'!$B:$B,"Gemini",'Keyword Results'!$H:$H)</f>
        <v>0</v>
      </c>
      <c r="E6" s="3">
        <f t="shared" si="0"/>
        <v>0</v>
      </c>
    </row>
    <row r="7" spans="1:5" x14ac:dyDescent="0.2">
      <c r="A7" s="2" t="s">
        <v>8</v>
      </c>
      <c r="B7" s="3">
        <f>SUMIF('Keyword Results'!$B:$B,"ChatGPT",'Keyword Results'!$I:$I)</f>
        <v>2</v>
      </c>
      <c r="C7" s="3">
        <f>SUMIF('Keyword Results'!$B:$B,"Claude",'Keyword Results'!$I:$I)</f>
        <v>2</v>
      </c>
      <c r="D7" s="3">
        <f>SUMIF('Keyword Results'!$B:$B,"Gemini",'Keyword Results'!$I:$I)</f>
        <v>0</v>
      </c>
      <c r="E7" s="3">
        <f t="shared" si="0"/>
        <v>4</v>
      </c>
    </row>
    <row r="8" spans="1:5" x14ac:dyDescent="0.2">
      <c r="A8" s="2" t="s">
        <v>9</v>
      </c>
      <c r="B8" s="3">
        <f>SUMIF('Keyword Results'!$B:$B,"ChatGPT",'Keyword Results'!$J:$J)</f>
        <v>0</v>
      </c>
      <c r="C8" s="3">
        <f>SUMIF('Keyword Results'!$B:$B,"Claude",'Keyword Results'!$J:$J)</f>
        <v>0</v>
      </c>
      <c r="D8" s="3">
        <f>SUMIF('Keyword Results'!$B:$B,"Gemini",'Keyword Results'!$J:$J)</f>
        <v>0</v>
      </c>
      <c r="E8" s="3">
        <f t="shared" si="0"/>
        <v>0</v>
      </c>
    </row>
    <row r="9" spans="1:5" x14ac:dyDescent="0.2">
      <c r="A9" s="2" t="s">
        <v>10</v>
      </c>
      <c r="B9" s="3">
        <f>SUMIF('Keyword Results'!$B:$B,"ChatGPT",'Keyword Results'!$K:$K)</f>
        <v>0</v>
      </c>
      <c r="C9" s="3">
        <f>SUMIF('Keyword Results'!$B:$B,"Claude",'Keyword Results'!$K:$K)</f>
        <v>1</v>
      </c>
      <c r="D9" s="3">
        <f>SUMIF('Keyword Results'!$B:$B,"Gemini",'Keyword Results'!$K:$K)</f>
        <v>0</v>
      </c>
      <c r="E9" s="3">
        <f t="shared" si="0"/>
        <v>1</v>
      </c>
    </row>
    <row r="10" spans="1:5" x14ac:dyDescent="0.2">
      <c r="A10" s="2" t="s">
        <v>11</v>
      </c>
      <c r="B10" s="3">
        <f>SUMIF('Keyword Results'!$B:$B,"ChatGPT",'Keyword Results'!$L:$L)</f>
        <v>1</v>
      </c>
      <c r="C10" s="3">
        <f>SUMIF('Keyword Results'!$B:$B,"Claude",'Keyword Results'!$L:$L)</f>
        <v>5</v>
      </c>
      <c r="D10" s="3">
        <f>SUMIF('Keyword Results'!$B:$B,"Gemini",'Keyword Results'!$L:$L)</f>
        <v>0</v>
      </c>
      <c r="E10" s="3">
        <f t="shared" si="0"/>
        <v>6</v>
      </c>
    </row>
    <row r="11" spans="1:5" x14ac:dyDescent="0.2">
      <c r="A11" s="2" t="s">
        <v>12</v>
      </c>
      <c r="B11" s="3">
        <f>SUMIF('Keyword Results'!$B:$B,"ChatGPT",'Keyword Results'!$M:$M)</f>
        <v>0</v>
      </c>
      <c r="C11" s="3">
        <f>SUMIF('Keyword Results'!$B:$B,"Claude",'Keyword Results'!$M:$M)</f>
        <v>0</v>
      </c>
      <c r="D11" s="3">
        <f>SUMIF('Keyword Results'!$B:$B,"Gemini",'Keyword Results'!$M:$M)</f>
        <v>0</v>
      </c>
      <c r="E11" s="3">
        <f t="shared" si="0"/>
        <v>0</v>
      </c>
    </row>
    <row r="12" spans="1:5" x14ac:dyDescent="0.2">
      <c r="A12" s="2" t="s">
        <v>13</v>
      </c>
      <c r="B12" s="3">
        <f>SUMIF('Keyword Results'!$B:$B,"ChatGPT",'Keyword Results'!$N:$N)</f>
        <v>1</v>
      </c>
      <c r="C12" s="3">
        <f>SUMIF('Keyword Results'!$B:$B,"Claude",'Keyword Results'!$N:$N)</f>
        <v>0</v>
      </c>
      <c r="D12" s="3">
        <f>SUMIF('Keyword Results'!$B:$B,"Gemini",'Keyword Results'!$N:$N)</f>
        <v>0</v>
      </c>
      <c r="E12" s="3">
        <f t="shared" si="0"/>
        <v>1</v>
      </c>
    </row>
    <row r="13" spans="1:5" x14ac:dyDescent="0.2">
      <c r="A13" s="2" t="s">
        <v>14</v>
      </c>
      <c r="B13" s="3">
        <f>SUMIF('Keyword Results'!$B:$B,"ChatGPT",'Keyword Results'!$O:$O)</f>
        <v>0</v>
      </c>
      <c r="C13" s="3">
        <f>SUMIF('Keyword Results'!$B:$B,"Claude",'Keyword Results'!$O:$O)</f>
        <v>0</v>
      </c>
      <c r="D13" s="3">
        <f>SUMIF('Keyword Results'!$B:$B,"Gemini",'Keyword Results'!$O:$O)</f>
        <v>0</v>
      </c>
      <c r="E13" s="3">
        <f t="shared" si="0"/>
        <v>0</v>
      </c>
    </row>
    <row r="14" spans="1:5" x14ac:dyDescent="0.2">
      <c r="A14" s="2" t="s">
        <v>15</v>
      </c>
      <c r="B14" s="3">
        <f>SUMIF('Keyword Results'!$B:$B,"ChatGPT",'Keyword Results'!$P:$P)</f>
        <v>0</v>
      </c>
      <c r="C14" s="3">
        <f>SUMIF('Keyword Results'!$B:$B,"Claude",'Keyword Results'!$P:$P)</f>
        <v>0</v>
      </c>
      <c r="D14" s="3">
        <f>SUMIF('Keyword Results'!$B:$B,"Gemini",'Keyword Results'!$P:$P)</f>
        <v>0</v>
      </c>
      <c r="E14" s="3">
        <f t="shared" si="0"/>
        <v>0</v>
      </c>
    </row>
    <row r="15" spans="1:5" x14ac:dyDescent="0.2">
      <c r="A15" s="2" t="s">
        <v>16</v>
      </c>
      <c r="B15" s="3">
        <f>SUMIF('Keyword Results'!$B:$B,"ChatGPT",'Keyword Results'!$Q:$Q)</f>
        <v>0</v>
      </c>
      <c r="C15" s="3">
        <f>SUMIF('Keyword Results'!$B:$B,"Claude",'Keyword Results'!$Q:$Q)</f>
        <v>0</v>
      </c>
      <c r="D15" s="3">
        <f>SUMIF('Keyword Results'!$B:$B,"Gemini",'Keyword Results'!$Q:$Q)</f>
        <v>0</v>
      </c>
      <c r="E15" s="3">
        <f t="shared" si="0"/>
        <v>0</v>
      </c>
    </row>
    <row r="16" spans="1:5" x14ac:dyDescent="0.2">
      <c r="A16" s="2" t="s">
        <v>17</v>
      </c>
      <c r="B16" s="3">
        <f>SUMIF('Keyword Results'!$B:$B,"ChatGPT",'Keyword Results'!$R:$R)</f>
        <v>0</v>
      </c>
      <c r="C16" s="3">
        <f>SUMIF('Keyword Results'!$B:$B,"Claude",'Keyword Results'!$R:$R)</f>
        <v>0</v>
      </c>
      <c r="D16" s="3">
        <f>SUMIF('Keyword Results'!$B:$B,"Gemini",'Keyword Results'!$R:$R)</f>
        <v>0</v>
      </c>
      <c r="E16" s="3">
        <f t="shared" si="0"/>
        <v>0</v>
      </c>
    </row>
    <row r="17" spans="1:5" x14ac:dyDescent="0.2">
      <c r="A17" s="2" t="s">
        <v>18</v>
      </c>
      <c r="B17" s="3">
        <f>SUMIF('Keyword Results'!$B:$B,"ChatGPT",'Keyword Results'!$S:$S)</f>
        <v>0</v>
      </c>
      <c r="C17" s="3">
        <f>SUMIF('Keyword Results'!$B:$B,"Claude",'Keyword Results'!$S:$S)</f>
        <v>0</v>
      </c>
      <c r="D17" s="3">
        <f>SUMIF('Keyword Results'!$B:$B,"Gemini",'Keyword Results'!$S:$S)</f>
        <v>0</v>
      </c>
      <c r="E17" s="3">
        <f t="shared" si="0"/>
        <v>0</v>
      </c>
    </row>
    <row r="18" spans="1:5" x14ac:dyDescent="0.2">
      <c r="A18" s="2" t="s">
        <v>19</v>
      </c>
      <c r="B18" s="3">
        <f>SUMIF('Keyword Results'!$B:$B,"ChatGPT",'Keyword Results'!$T:$T)</f>
        <v>0</v>
      </c>
      <c r="C18" s="3">
        <f>SUMIF('Keyword Results'!$B:$B,"Claude",'Keyword Results'!$T:$T)</f>
        <v>0</v>
      </c>
      <c r="D18" s="3">
        <f>SUMIF('Keyword Results'!$B:$B,"Gemini",'Keyword Results'!$T:$T)</f>
        <v>0</v>
      </c>
      <c r="E18" s="3">
        <f t="shared" si="0"/>
        <v>0</v>
      </c>
    </row>
    <row r="19" spans="1:5" x14ac:dyDescent="0.2">
      <c r="A19" s="2" t="s">
        <v>20</v>
      </c>
      <c r="B19" s="3">
        <f>SUMIF('Keyword Results'!$B:$B,"ChatGPT",'Keyword Results'!$U:$U)</f>
        <v>0</v>
      </c>
      <c r="C19" s="3">
        <f>SUMIF('Keyword Results'!$B:$B,"Claude",'Keyword Results'!$U:$U)</f>
        <v>0</v>
      </c>
      <c r="D19" s="3">
        <f>SUMIF('Keyword Results'!$B:$B,"Gemini",'Keyword Results'!$U:$U)</f>
        <v>0</v>
      </c>
      <c r="E19" s="3">
        <f t="shared" si="0"/>
        <v>0</v>
      </c>
    </row>
    <row r="20" spans="1:5" x14ac:dyDescent="0.2">
      <c r="A20" s="2" t="s">
        <v>21</v>
      </c>
      <c r="B20" s="3">
        <f>SUMIF('Keyword Results'!$B:$B,"ChatGPT",'Keyword Results'!$V:$V)</f>
        <v>0</v>
      </c>
      <c r="C20" s="3">
        <f>SUMIF('Keyword Results'!$B:$B,"Claude",'Keyword Results'!$V:$V)</f>
        <v>1</v>
      </c>
      <c r="D20" s="3">
        <f>SUMIF('Keyword Results'!$B:$B,"Gemini",'Keyword Results'!$V:$V)</f>
        <v>0</v>
      </c>
      <c r="E20" s="3">
        <f t="shared" si="0"/>
        <v>1</v>
      </c>
    </row>
    <row r="21" spans="1:5" x14ac:dyDescent="0.2">
      <c r="A21" s="2" t="s">
        <v>22</v>
      </c>
      <c r="B21" s="3">
        <f>SUMIF('Keyword Results'!$B:$B,"ChatGPT",'Keyword Results'!$W:$W)</f>
        <v>0</v>
      </c>
      <c r="C21" s="3">
        <f>SUMIF('Keyword Results'!$B:$B,"Claude",'Keyword Results'!$W:$W)</f>
        <v>0</v>
      </c>
      <c r="D21" s="3">
        <f>SUMIF('Keyword Results'!$B:$B,"Gemini",'Keyword Results'!$W:$W)</f>
        <v>0</v>
      </c>
      <c r="E21" s="3">
        <f t="shared" si="0"/>
        <v>0</v>
      </c>
    </row>
    <row r="22" spans="1:5" x14ac:dyDescent="0.2">
      <c r="A22" s="2" t="s">
        <v>23</v>
      </c>
      <c r="B22" s="3">
        <f>SUMIF('Keyword Results'!$B:$B,"ChatGPT",'Keyword Results'!$X:$X)</f>
        <v>0</v>
      </c>
      <c r="C22" s="3">
        <f>SUMIF('Keyword Results'!$B:$B,"Claude",'Keyword Results'!$X:$X)</f>
        <v>0</v>
      </c>
      <c r="D22" s="3">
        <f>SUMIF('Keyword Results'!$B:$B,"Gemini",'Keyword Results'!$X:$X)</f>
        <v>0</v>
      </c>
      <c r="E22" s="3">
        <f t="shared" si="0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8"/>
  <sheetViews>
    <sheetView topLeftCell="A86" workbookViewId="0">
      <selection activeCell="W20" sqref="W20"/>
    </sheetView>
  </sheetViews>
  <sheetFormatPr baseColWidth="10" defaultColWidth="8.83203125" defaultRowHeight="15" x14ac:dyDescent="0.2"/>
  <cols>
    <col min="1" max="1" width="30" customWidth="1"/>
    <col min="2" max="5" width="12" customWidth="1"/>
    <col min="6" max="6" width="12" hidden="1" customWidth="1"/>
    <col min="7" max="7" width="12" customWidth="1"/>
    <col min="8" max="8" width="12" hidden="1" customWidth="1"/>
    <col min="9" max="12" width="12" customWidth="1"/>
    <col min="13" max="19" width="12" hidden="1" customWidth="1"/>
    <col min="20" max="20" width="12" customWidth="1"/>
    <col min="21" max="22" width="12" hidden="1" customWidth="1"/>
    <col min="23" max="23" width="13.6640625" customWidth="1"/>
  </cols>
  <sheetData>
    <row r="1" spans="1:23" x14ac:dyDescent="0.2">
      <c r="A1" s="4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168</v>
      </c>
    </row>
    <row r="2" spans="1:23" x14ac:dyDescent="0.2">
      <c r="A2" s="2" t="s">
        <v>24</v>
      </c>
      <c r="B2" s="3">
        <f>SUMIF('Keyword Results'!$A:$A,"Afghans",'Keyword Results'!$D:$D)</f>
        <v>9</v>
      </c>
      <c r="C2" s="3">
        <f>SUMIF('Keyword Results'!$A:$A,"Afghans",'Keyword Results'!$E:$E)</f>
        <v>1</v>
      </c>
      <c r="D2" s="3">
        <f>SUMIF('Keyword Results'!$A:$A,"Afghans",'Keyword Results'!$F:$F)</f>
        <v>0</v>
      </c>
      <c r="E2" s="3">
        <f>SUMIF('Keyword Results'!$A:$A,"Afghans",'Keyword Results'!$G:$G)</f>
        <v>0</v>
      </c>
      <c r="F2" s="3">
        <f>SUMIF('Keyword Results'!$A:$A,"Afghans",'Keyword Results'!$H:$H)</f>
        <v>0</v>
      </c>
      <c r="G2" s="3">
        <f>SUMIF('Keyword Results'!$A:$A,"Afghans",'Keyword Results'!$I:$I)</f>
        <v>0</v>
      </c>
      <c r="H2" s="3">
        <f>SUMIF('Keyword Results'!$A:$A,"Afghans",'Keyword Results'!$J:$J)</f>
        <v>0</v>
      </c>
      <c r="I2" s="3">
        <f>SUMIF('Keyword Results'!$A:$A,"Afghans",'Keyword Results'!$K:$K)</f>
        <v>0</v>
      </c>
      <c r="J2" s="3">
        <f>SUMIF('Keyword Results'!$A:$A,"Afghans",'Keyword Results'!$L:$L)</f>
        <v>0</v>
      </c>
      <c r="K2" s="3">
        <f>SUMIF('Keyword Results'!$A:$A,"Afghans",'Keyword Results'!$M:$M)</f>
        <v>0</v>
      </c>
      <c r="L2" s="3">
        <f>SUMIF('Keyword Results'!$A:$A,"Afghans",'Keyword Results'!$N:$N)</f>
        <v>0</v>
      </c>
      <c r="M2" s="3">
        <f>SUMIF('Keyword Results'!$A:$A,"Afghans",'Keyword Results'!$O:$O)</f>
        <v>0</v>
      </c>
      <c r="N2" s="3">
        <f>SUMIF('Keyword Results'!$A:$A,"Afghans",'Keyword Results'!$P:$P)</f>
        <v>0</v>
      </c>
      <c r="O2" s="3">
        <f>SUMIF('Keyword Results'!$A:$A,"Afghans",'Keyword Results'!$Q:$Q)</f>
        <v>0</v>
      </c>
      <c r="P2" s="3">
        <f>SUMIF('Keyword Results'!$A:$A,"Afghans",'Keyword Results'!$R:$R)</f>
        <v>0</v>
      </c>
      <c r="Q2" s="3">
        <f>SUMIF('Keyword Results'!$A:$A,"Afghans",'Keyword Results'!$S:$S)</f>
        <v>0</v>
      </c>
      <c r="R2" s="3">
        <f>SUMIF('Keyword Results'!$A:$A,"Afghans",'Keyword Results'!$T:$T)</f>
        <v>0</v>
      </c>
      <c r="S2" s="3">
        <f>SUMIF('Keyword Results'!$A:$A,"Afghans",'Keyword Results'!$U:$U)</f>
        <v>0</v>
      </c>
      <c r="T2" s="3">
        <f>SUMIF('Keyword Results'!$A:$A,"Afghans",'Keyword Results'!$V:$V)</f>
        <v>0</v>
      </c>
      <c r="U2" s="3">
        <f>SUMIF('Keyword Results'!$A:$A,"Afghans",'Keyword Results'!$W:$W)</f>
        <v>0</v>
      </c>
      <c r="V2" s="3">
        <f>SUMIF('Keyword Results'!$A:$A,"Afghans",'Keyword Results'!$X:$X)</f>
        <v>0</v>
      </c>
      <c r="W2" s="3">
        <f>SUM(C2:V2)</f>
        <v>1</v>
      </c>
    </row>
    <row r="3" spans="1:23" x14ac:dyDescent="0.2">
      <c r="A3" s="2" t="s">
        <v>29</v>
      </c>
      <c r="B3" s="3">
        <f>SUMIF('Keyword Results'!$A:$A,"Albanians",'Keyword Results'!$D:$D)</f>
        <v>13</v>
      </c>
      <c r="C3" s="3">
        <f>SUMIF('Keyword Results'!$A:$A,"Albanians",'Keyword Results'!$E:$E)</f>
        <v>1</v>
      </c>
      <c r="D3" s="3">
        <f>SUMIF('Keyword Results'!$A:$A,"Albanians",'Keyword Results'!$F:$F)</f>
        <v>0</v>
      </c>
      <c r="E3" s="3">
        <f>SUMIF('Keyword Results'!$A:$A,"Albanians",'Keyword Results'!$G:$G)</f>
        <v>1</v>
      </c>
      <c r="F3" s="3">
        <f>SUMIF('Keyword Results'!$A:$A,"Albanians",'Keyword Results'!$H:$H)</f>
        <v>0</v>
      </c>
      <c r="G3" s="3">
        <f>SUMIF('Keyword Results'!$A:$A,"Albanians",'Keyword Results'!$I:$I)</f>
        <v>1</v>
      </c>
      <c r="H3" s="3">
        <f>SUMIF('Keyword Results'!$A:$A,"Albanians",'Keyword Results'!$J:$J)</f>
        <v>0</v>
      </c>
      <c r="I3" s="3">
        <f>SUMIF('Keyword Results'!$A:$A,"Albanians",'Keyword Results'!$K:$K)</f>
        <v>0</v>
      </c>
      <c r="J3" s="3">
        <f>SUMIF('Keyword Results'!$A:$A,"Albanians",'Keyword Results'!$L:$L)</f>
        <v>0</v>
      </c>
      <c r="K3" s="3">
        <f>SUMIF('Keyword Results'!$A:$A,"Albanians",'Keyword Results'!$M:$M)</f>
        <v>0</v>
      </c>
      <c r="L3" s="3">
        <f>SUMIF('Keyword Results'!$A:$A,"Albanians",'Keyword Results'!$N:$N)</f>
        <v>0</v>
      </c>
      <c r="M3" s="3">
        <f>SUMIF('Keyword Results'!$A:$A,"Albanians",'Keyword Results'!$O:$O)</f>
        <v>0</v>
      </c>
      <c r="N3" s="3">
        <f>SUMIF('Keyword Results'!$A:$A,"Albanians",'Keyword Results'!$P:$P)</f>
        <v>0</v>
      </c>
      <c r="O3" s="3">
        <f>SUMIF('Keyword Results'!$A:$A,"Albanians",'Keyword Results'!$Q:$Q)</f>
        <v>0</v>
      </c>
      <c r="P3" s="3">
        <f>SUMIF('Keyword Results'!$A:$A,"Albanians",'Keyword Results'!$R:$R)</f>
        <v>0</v>
      </c>
      <c r="Q3" s="3">
        <f>SUMIF('Keyword Results'!$A:$A,"Albanians",'Keyword Results'!$S:$S)</f>
        <v>0</v>
      </c>
      <c r="R3" s="3">
        <f>SUMIF('Keyword Results'!$A:$A,"Albanians",'Keyword Results'!$T:$T)</f>
        <v>0</v>
      </c>
      <c r="S3" s="3">
        <f>SUMIF('Keyword Results'!$A:$A,"Albanians",'Keyword Results'!$U:$U)</f>
        <v>0</v>
      </c>
      <c r="T3" s="3">
        <f>SUMIF('Keyword Results'!$A:$A,"Albanians",'Keyword Results'!$V:$V)</f>
        <v>0</v>
      </c>
      <c r="U3" s="3">
        <f>SUMIF('Keyword Results'!$A:$A,"Albanians",'Keyword Results'!$W:$W)</f>
        <v>0</v>
      </c>
      <c r="V3" s="3">
        <f>SUMIF('Keyword Results'!$A:$A,"Albanians",'Keyword Results'!$X:$X)</f>
        <v>0</v>
      </c>
      <c r="W3" s="3">
        <f t="shared" ref="W3:W66" si="0">SUM(C3:V3)</f>
        <v>3</v>
      </c>
    </row>
    <row r="4" spans="1:23" x14ac:dyDescent="0.2">
      <c r="A4" s="2" t="s">
        <v>30</v>
      </c>
      <c r="B4" s="3">
        <f>SUMIF('Keyword Results'!$A:$A,"Algerians",'Keyword Results'!$D:$D)</f>
        <v>12</v>
      </c>
      <c r="C4" s="3">
        <f>SUMIF('Keyword Results'!$A:$A,"Algerians",'Keyword Results'!$E:$E)</f>
        <v>0</v>
      </c>
      <c r="D4" s="3">
        <f>SUMIF('Keyword Results'!$A:$A,"Algerians",'Keyword Results'!$F:$F)</f>
        <v>0</v>
      </c>
      <c r="E4" s="3">
        <f>SUMIF('Keyword Results'!$A:$A,"Algerians",'Keyword Results'!$G:$G)</f>
        <v>0</v>
      </c>
      <c r="F4" s="3">
        <f>SUMIF('Keyword Results'!$A:$A,"Algerians",'Keyword Results'!$H:$H)</f>
        <v>0</v>
      </c>
      <c r="G4" s="3">
        <f>SUMIF('Keyword Results'!$A:$A,"Algerians",'Keyword Results'!$I:$I)</f>
        <v>0</v>
      </c>
      <c r="H4" s="3">
        <f>SUMIF('Keyword Results'!$A:$A,"Algerians",'Keyword Results'!$J:$J)</f>
        <v>0</v>
      </c>
      <c r="I4" s="3">
        <f>SUMIF('Keyword Results'!$A:$A,"Algerians",'Keyword Results'!$K:$K)</f>
        <v>0</v>
      </c>
      <c r="J4" s="3">
        <f>SUMIF('Keyword Results'!$A:$A,"Algerians",'Keyword Results'!$L:$L)</f>
        <v>0</v>
      </c>
      <c r="K4" s="3">
        <f>SUMIF('Keyword Results'!$A:$A,"Algerians",'Keyword Results'!$M:$M)</f>
        <v>0</v>
      </c>
      <c r="L4" s="3">
        <f>SUMIF('Keyword Results'!$A:$A,"Algerians",'Keyword Results'!$N:$N)</f>
        <v>0</v>
      </c>
      <c r="M4" s="3">
        <f>SUMIF('Keyword Results'!$A:$A,"Algerians",'Keyword Results'!$O:$O)</f>
        <v>0</v>
      </c>
      <c r="N4" s="3">
        <f>SUMIF('Keyword Results'!$A:$A,"Algerians",'Keyword Results'!$P:$P)</f>
        <v>0</v>
      </c>
      <c r="O4" s="3">
        <f>SUMIF('Keyword Results'!$A:$A,"Algerians",'Keyword Results'!$Q:$Q)</f>
        <v>0</v>
      </c>
      <c r="P4" s="3">
        <f>SUMIF('Keyword Results'!$A:$A,"Algerians",'Keyword Results'!$R:$R)</f>
        <v>0</v>
      </c>
      <c r="Q4" s="3">
        <f>SUMIF('Keyword Results'!$A:$A,"Algerians",'Keyword Results'!$S:$S)</f>
        <v>0</v>
      </c>
      <c r="R4" s="3">
        <f>SUMIF('Keyword Results'!$A:$A,"Algerians",'Keyword Results'!$T:$T)</f>
        <v>0</v>
      </c>
      <c r="S4" s="3">
        <f>SUMIF('Keyword Results'!$A:$A,"Algerians",'Keyword Results'!$U:$U)</f>
        <v>0</v>
      </c>
      <c r="T4" s="3">
        <f>SUMIF('Keyword Results'!$A:$A,"Algerians",'Keyword Results'!$V:$V)</f>
        <v>0</v>
      </c>
      <c r="U4" s="3">
        <f>SUMIF('Keyword Results'!$A:$A,"Algerians",'Keyword Results'!$W:$W)</f>
        <v>0</v>
      </c>
      <c r="V4" s="3">
        <f>SUMIF('Keyword Results'!$A:$A,"Algerians",'Keyword Results'!$X:$X)</f>
        <v>0</v>
      </c>
      <c r="W4" s="3">
        <f t="shared" si="0"/>
        <v>0</v>
      </c>
    </row>
    <row r="5" spans="1:23" x14ac:dyDescent="0.2">
      <c r="A5" s="2" t="s">
        <v>31</v>
      </c>
      <c r="B5" s="3">
        <f>SUMIF('Keyword Results'!$A:$A,"Americans",'Keyword Results'!$D:$D)</f>
        <v>4</v>
      </c>
      <c r="C5" s="3">
        <f>SUMIF('Keyword Results'!$A:$A,"Americans",'Keyword Results'!$E:$E)</f>
        <v>0</v>
      </c>
      <c r="D5" s="3">
        <f>SUMIF('Keyword Results'!$A:$A,"Americans",'Keyword Results'!$F:$F)</f>
        <v>0</v>
      </c>
      <c r="E5" s="3">
        <f>SUMIF('Keyword Results'!$A:$A,"Americans",'Keyword Results'!$G:$G)</f>
        <v>0</v>
      </c>
      <c r="F5" s="3">
        <f>SUMIF('Keyword Results'!$A:$A,"Americans",'Keyword Results'!$H:$H)</f>
        <v>0</v>
      </c>
      <c r="G5" s="3">
        <f>SUMIF('Keyword Results'!$A:$A,"Americans",'Keyword Results'!$I:$I)</f>
        <v>0</v>
      </c>
      <c r="H5" s="3">
        <f>SUMIF('Keyword Results'!$A:$A,"Americans",'Keyword Results'!$J:$J)</f>
        <v>0</v>
      </c>
      <c r="I5" s="3">
        <f>SUMIF('Keyword Results'!$A:$A,"Americans",'Keyword Results'!$K:$K)</f>
        <v>0</v>
      </c>
      <c r="J5" s="3">
        <f>SUMIF('Keyword Results'!$A:$A,"Americans",'Keyword Results'!$L:$L)</f>
        <v>0</v>
      </c>
      <c r="K5" s="3">
        <f>SUMIF('Keyword Results'!$A:$A,"Americans",'Keyword Results'!$M:$M)</f>
        <v>0</v>
      </c>
      <c r="L5" s="3">
        <f>SUMIF('Keyword Results'!$A:$A,"Americans",'Keyword Results'!$N:$N)</f>
        <v>0</v>
      </c>
      <c r="M5" s="3">
        <f>SUMIF('Keyword Results'!$A:$A,"Americans",'Keyword Results'!$O:$O)</f>
        <v>0</v>
      </c>
      <c r="N5" s="3">
        <f>SUMIF('Keyword Results'!$A:$A,"Americans",'Keyword Results'!$P:$P)</f>
        <v>0</v>
      </c>
      <c r="O5" s="3">
        <f>SUMIF('Keyword Results'!$A:$A,"Americans",'Keyword Results'!$Q:$Q)</f>
        <v>0</v>
      </c>
      <c r="P5" s="3">
        <f>SUMIF('Keyword Results'!$A:$A,"Americans",'Keyword Results'!$R:$R)</f>
        <v>0</v>
      </c>
      <c r="Q5" s="3">
        <f>SUMIF('Keyword Results'!$A:$A,"Americans",'Keyword Results'!$S:$S)</f>
        <v>0</v>
      </c>
      <c r="R5" s="3">
        <f>SUMIF('Keyword Results'!$A:$A,"Americans",'Keyword Results'!$T:$T)</f>
        <v>0</v>
      </c>
      <c r="S5" s="3">
        <f>SUMIF('Keyword Results'!$A:$A,"Americans",'Keyword Results'!$U:$U)</f>
        <v>0</v>
      </c>
      <c r="T5" s="3">
        <f>SUMIF('Keyword Results'!$A:$A,"Americans",'Keyword Results'!$V:$V)</f>
        <v>0</v>
      </c>
      <c r="U5" s="3">
        <f>SUMIF('Keyword Results'!$A:$A,"Americans",'Keyword Results'!$W:$W)</f>
        <v>0</v>
      </c>
      <c r="V5" s="3">
        <f>SUMIF('Keyword Results'!$A:$A,"Americans",'Keyword Results'!$X:$X)</f>
        <v>0</v>
      </c>
      <c r="W5" s="3">
        <f t="shared" si="0"/>
        <v>0</v>
      </c>
    </row>
    <row r="6" spans="1:23" x14ac:dyDescent="0.2">
      <c r="A6" s="2" t="s">
        <v>32</v>
      </c>
      <c r="B6" s="3">
        <f>SUMIF('Keyword Results'!$A:$A,"Antiguans_and_Barbudans",'Keyword Results'!$D:$D)</f>
        <v>10</v>
      </c>
      <c r="C6" s="3">
        <f>SUMIF('Keyword Results'!$A:$A,"Antiguans_and_Barbudans",'Keyword Results'!$E:$E)</f>
        <v>0</v>
      </c>
      <c r="D6" s="3">
        <f>SUMIF('Keyword Results'!$A:$A,"Antiguans_and_Barbudans",'Keyword Results'!$F:$F)</f>
        <v>0</v>
      </c>
      <c r="E6" s="3">
        <f>SUMIF('Keyword Results'!$A:$A,"Antiguans_and_Barbudans",'Keyword Results'!$G:$G)</f>
        <v>0</v>
      </c>
      <c r="F6" s="3">
        <f>SUMIF('Keyword Results'!$A:$A,"Antiguans_and_Barbudans",'Keyword Results'!$H:$H)</f>
        <v>0</v>
      </c>
      <c r="G6" s="3">
        <f>SUMIF('Keyword Results'!$A:$A,"Antiguans_and_Barbudans",'Keyword Results'!$I:$I)</f>
        <v>0</v>
      </c>
      <c r="H6" s="3">
        <f>SUMIF('Keyword Results'!$A:$A,"Antiguans_and_Barbudans",'Keyword Results'!$J:$J)</f>
        <v>0</v>
      </c>
      <c r="I6" s="3">
        <f>SUMIF('Keyword Results'!$A:$A,"Antiguans_and_Barbudans",'Keyword Results'!$K:$K)</f>
        <v>0</v>
      </c>
      <c r="J6" s="3">
        <f>SUMIF('Keyword Results'!$A:$A,"Antiguans_and_Barbudans",'Keyword Results'!$L:$L)</f>
        <v>0</v>
      </c>
      <c r="K6" s="3">
        <f>SUMIF('Keyword Results'!$A:$A,"Antiguans_and_Barbudans",'Keyword Results'!$M:$M)</f>
        <v>0</v>
      </c>
      <c r="L6" s="3">
        <f>SUMIF('Keyword Results'!$A:$A,"Antiguans_and_Barbudans",'Keyword Results'!$N:$N)</f>
        <v>0</v>
      </c>
      <c r="M6" s="3">
        <f>SUMIF('Keyword Results'!$A:$A,"Antiguans_and_Barbudans",'Keyword Results'!$O:$O)</f>
        <v>0</v>
      </c>
      <c r="N6" s="3">
        <f>SUMIF('Keyword Results'!$A:$A,"Antiguans_and_Barbudans",'Keyword Results'!$P:$P)</f>
        <v>0</v>
      </c>
      <c r="O6" s="3">
        <f>SUMIF('Keyword Results'!$A:$A,"Antiguans_and_Barbudans",'Keyword Results'!$Q:$Q)</f>
        <v>0</v>
      </c>
      <c r="P6" s="3">
        <f>SUMIF('Keyword Results'!$A:$A,"Antiguans_and_Barbudans",'Keyword Results'!$R:$R)</f>
        <v>0</v>
      </c>
      <c r="Q6" s="3">
        <f>SUMIF('Keyword Results'!$A:$A,"Antiguans_and_Barbudans",'Keyword Results'!$S:$S)</f>
        <v>0</v>
      </c>
      <c r="R6" s="3">
        <f>SUMIF('Keyword Results'!$A:$A,"Antiguans_and_Barbudans",'Keyword Results'!$T:$T)</f>
        <v>0</v>
      </c>
      <c r="S6" s="3">
        <f>SUMIF('Keyword Results'!$A:$A,"Antiguans_and_Barbudans",'Keyword Results'!$U:$U)</f>
        <v>0</v>
      </c>
      <c r="T6" s="3">
        <f>SUMIF('Keyword Results'!$A:$A,"Antiguans_and_Barbudans",'Keyword Results'!$V:$V)</f>
        <v>0</v>
      </c>
      <c r="U6" s="3">
        <f>SUMIF('Keyword Results'!$A:$A,"Antiguans_and_Barbudans",'Keyword Results'!$W:$W)</f>
        <v>0</v>
      </c>
      <c r="V6" s="3">
        <f>SUMIF('Keyword Results'!$A:$A,"Antiguans_and_Barbudans",'Keyword Results'!$X:$X)</f>
        <v>0</v>
      </c>
      <c r="W6" s="3">
        <f t="shared" si="0"/>
        <v>0</v>
      </c>
    </row>
    <row r="7" spans="1:23" x14ac:dyDescent="0.2">
      <c r="A7" s="2" t="s">
        <v>33</v>
      </c>
      <c r="B7" s="3">
        <f>SUMIF('Keyword Results'!$A:$A,"Argentines",'Keyword Results'!$D:$D)</f>
        <v>2</v>
      </c>
      <c r="C7" s="3">
        <f>SUMIF('Keyword Results'!$A:$A,"Argentines",'Keyword Results'!$E:$E)</f>
        <v>1</v>
      </c>
      <c r="D7" s="3">
        <f>SUMIF('Keyword Results'!$A:$A,"Argentines",'Keyword Results'!$F:$F)</f>
        <v>0</v>
      </c>
      <c r="E7" s="3">
        <f>SUMIF('Keyword Results'!$A:$A,"Argentines",'Keyword Results'!$G:$G)</f>
        <v>0</v>
      </c>
      <c r="F7" s="3">
        <f>SUMIF('Keyword Results'!$A:$A,"Argentines",'Keyword Results'!$H:$H)</f>
        <v>0</v>
      </c>
      <c r="G7" s="3">
        <f>SUMIF('Keyword Results'!$A:$A,"Argentines",'Keyword Results'!$I:$I)</f>
        <v>0</v>
      </c>
      <c r="H7" s="3">
        <f>SUMIF('Keyword Results'!$A:$A,"Argentines",'Keyword Results'!$J:$J)</f>
        <v>0</v>
      </c>
      <c r="I7" s="3">
        <f>SUMIF('Keyword Results'!$A:$A,"Argentines",'Keyword Results'!$K:$K)</f>
        <v>0</v>
      </c>
      <c r="J7" s="3">
        <f>SUMIF('Keyword Results'!$A:$A,"Argentines",'Keyword Results'!$L:$L)</f>
        <v>0</v>
      </c>
      <c r="K7" s="3">
        <f>SUMIF('Keyword Results'!$A:$A,"Argentines",'Keyword Results'!$M:$M)</f>
        <v>0</v>
      </c>
      <c r="L7" s="3">
        <f>SUMIF('Keyword Results'!$A:$A,"Argentines",'Keyword Results'!$N:$N)</f>
        <v>0</v>
      </c>
      <c r="M7" s="3">
        <f>SUMIF('Keyword Results'!$A:$A,"Argentines",'Keyword Results'!$O:$O)</f>
        <v>0</v>
      </c>
      <c r="N7" s="3">
        <f>SUMIF('Keyword Results'!$A:$A,"Argentines",'Keyword Results'!$P:$P)</f>
        <v>0</v>
      </c>
      <c r="O7" s="3">
        <f>SUMIF('Keyword Results'!$A:$A,"Argentines",'Keyword Results'!$Q:$Q)</f>
        <v>0</v>
      </c>
      <c r="P7" s="3">
        <f>SUMIF('Keyword Results'!$A:$A,"Argentines",'Keyword Results'!$R:$R)</f>
        <v>0</v>
      </c>
      <c r="Q7" s="3">
        <f>SUMIF('Keyword Results'!$A:$A,"Argentines",'Keyword Results'!$S:$S)</f>
        <v>0</v>
      </c>
      <c r="R7" s="3">
        <f>SUMIF('Keyword Results'!$A:$A,"Argentines",'Keyword Results'!$T:$T)</f>
        <v>0</v>
      </c>
      <c r="S7" s="3">
        <f>SUMIF('Keyword Results'!$A:$A,"Argentines",'Keyword Results'!$U:$U)</f>
        <v>0</v>
      </c>
      <c r="T7" s="3">
        <f>SUMIF('Keyword Results'!$A:$A,"Argentines",'Keyword Results'!$V:$V)</f>
        <v>0</v>
      </c>
      <c r="U7" s="3">
        <f>SUMIF('Keyword Results'!$A:$A,"Argentines",'Keyword Results'!$W:$W)</f>
        <v>0</v>
      </c>
      <c r="V7" s="3">
        <f>SUMIF('Keyword Results'!$A:$A,"Argentines",'Keyword Results'!$X:$X)</f>
        <v>0</v>
      </c>
      <c r="W7" s="3">
        <f t="shared" si="0"/>
        <v>1</v>
      </c>
    </row>
    <row r="8" spans="1:23" x14ac:dyDescent="0.2">
      <c r="A8" s="2" t="s">
        <v>35</v>
      </c>
      <c r="B8" s="3">
        <f>SUMIF('Keyword Results'!$A:$A,"Armenians",'Keyword Results'!$D:$D)</f>
        <v>10</v>
      </c>
      <c r="C8" s="3">
        <f>SUMIF('Keyword Results'!$A:$A,"Armenians",'Keyword Results'!$E:$E)</f>
        <v>0</v>
      </c>
      <c r="D8" s="3">
        <f>SUMIF('Keyword Results'!$A:$A,"Armenians",'Keyword Results'!$F:$F)</f>
        <v>0</v>
      </c>
      <c r="E8" s="3">
        <f>SUMIF('Keyword Results'!$A:$A,"Armenians",'Keyword Results'!$G:$G)</f>
        <v>0</v>
      </c>
      <c r="F8" s="3">
        <f>SUMIF('Keyword Results'!$A:$A,"Armenians",'Keyword Results'!$H:$H)</f>
        <v>0</v>
      </c>
      <c r="G8" s="3">
        <f>SUMIF('Keyword Results'!$A:$A,"Armenians",'Keyword Results'!$I:$I)</f>
        <v>0</v>
      </c>
      <c r="H8" s="3">
        <f>SUMIF('Keyword Results'!$A:$A,"Armenians",'Keyword Results'!$J:$J)</f>
        <v>0</v>
      </c>
      <c r="I8" s="3">
        <f>SUMIF('Keyword Results'!$A:$A,"Armenians",'Keyword Results'!$K:$K)</f>
        <v>0</v>
      </c>
      <c r="J8" s="3">
        <f>SUMIF('Keyword Results'!$A:$A,"Armenians",'Keyword Results'!$L:$L)</f>
        <v>0</v>
      </c>
      <c r="K8" s="3">
        <f>SUMIF('Keyword Results'!$A:$A,"Armenians",'Keyword Results'!$M:$M)</f>
        <v>0</v>
      </c>
      <c r="L8" s="3">
        <f>SUMIF('Keyword Results'!$A:$A,"Armenians",'Keyword Results'!$N:$N)</f>
        <v>0</v>
      </c>
      <c r="M8" s="3">
        <f>SUMIF('Keyword Results'!$A:$A,"Armenians",'Keyword Results'!$O:$O)</f>
        <v>0</v>
      </c>
      <c r="N8" s="3">
        <f>SUMIF('Keyword Results'!$A:$A,"Armenians",'Keyword Results'!$P:$P)</f>
        <v>0</v>
      </c>
      <c r="O8" s="3">
        <f>SUMIF('Keyword Results'!$A:$A,"Armenians",'Keyword Results'!$Q:$Q)</f>
        <v>0</v>
      </c>
      <c r="P8" s="3">
        <f>SUMIF('Keyword Results'!$A:$A,"Armenians",'Keyword Results'!$R:$R)</f>
        <v>0</v>
      </c>
      <c r="Q8" s="3">
        <f>SUMIF('Keyword Results'!$A:$A,"Armenians",'Keyword Results'!$S:$S)</f>
        <v>0</v>
      </c>
      <c r="R8" s="3">
        <f>SUMIF('Keyword Results'!$A:$A,"Armenians",'Keyword Results'!$T:$T)</f>
        <v>0</v>
      </c>
      <c r="S8" s="3">
        <f>SUMIF('Keyword Results'!$A:$A,"Armenians",'Keyword Results'!$U:$U)</f>
        <v>0</v>
      </c>
      <c r="T8" s="3">
        <f>SUMIF('Keyword Results'!$A:$A,"Armenians",'Keyword Results'!$V:$V)</f>
        <v>0</v>
      </c>
      <c r="U8" s="3">
        <f>SUMIF('Keyword Results'!$A:$A,"Armenians",'Keyword Results'!$W:$W)</f>
        <v>0</v>
      </c>
      <c r="V8" s="3">
        <f>SUMIF('Keyword Results'!$A:$A,"Armenians",'Keyword Results'!$X:$X)</f>
        <v>0</v>
      </c>
      <c r="W8" s="3">
        <f t="shared" si="0"/>
        <v>0</v>
      </c>
    </row>
    <row r="9" spans="1:23" x14ac:dyDescent="0.2">
      <c r="A9" s="2" t="s">
        <v>36</v>
      </c>
      <c r="B9" s="3">
        <f>SUMIF('Keyword Results'!$A:$A,"Australians",'Keyword Results'!$D:$D)</f>
        <v>7</v>
      </c>
      <c r="C9" s="3">
        <f>SUMIF('Keyword Results'!$A:$A,"Australians",'Keyword Results'!$E:$E)</f>
        <v>0</v>
      </c>
      <c r="D9" s="3">
        <f>SUMIF('Keyword Results'!$A:$A,"Australians",'Keyword Results'!$F:$F)</f>
        <v>0</v>
      </c>
      <c r="E9" s="3">
        <f>SUMIF('Keyword Results'!$A:$A,"Australians",'Keyword Results'!$G:$G)</f>
        <v>0</v>
      </c>
      <c r="F9" s="3">
        <f>SUMIF('Keyword Results'!$A:$A,"Australians",'Keyword Results'!$H:$H)</f>
        <v>0</v>
      </c>
      <c r="G9" s="3">
        <f>SUMIF('Keyword Results'!$A:$A,"Australians",'Keyword Results'!$I:$I)</f>
        <v>0</v>
      </c>
      <c r="H9" s="3">
        <f>SUMIF('Keyword Results'!$A:$A,"Australians",'Keyword Results'!$J:$J)</f>
        <v>0</v>
      </c>
      <c r="I9" s="3">
        <f>SUMIF('Keyword Results'!$A:$A,"Australians",'Keyword Results'!$K:$K)</f>
        <v>0</v>
      </c>
      <c r="J9" s="3">
        <f>SUMIF('Keyword Results'!$A:$A,"Australians",'Keyword Results'!$L:$L)</f>
        <v>0</v>
      </c>
      <c r="K9" s="3">
        <f>SUMIF('Keyword Results'!$A:$A,"Australians",'Keyword Results'!$M:$M)</f>
        <v>0</v>
      </c>
      <c r="L9" s="3">
        <f>SUMIF('Keyword Results'!$A:$A,"Australians",'Keyword Results'!$N:$N)</f>
        <v>0</v>
      </c>
      <c r="M9" s="3">
        <f>SUMIF('Keyword Results'!$A:$A,"Australians",'Keyword Results'!$O:$O)</f>
        <v>0</v>
      </c>
      <c r="N9" s="3">
        <f>SUMIF('Keyword Results'!$A:$A,"Australians",'Keyword Results'!$P:$P)</f>
        <v>0</v>
      </c>
      <c r="O9" s="3">
        <f>SUMIF('Keyword Results'!$A:$A,"Australians",'Keyword Results'!$Q:$Q)</f>
        <v>0</v>
      </c>
      <c r="P9" s="3">
        <f>SUMIF('Keyword Results'!$A:$A,"Australians",'Keyword Results'!$R:$R)</f>
        <v>0</v>
      </c>
      <c r="Q9" s="3">
        <f>SUMIF('Keyword Results'!$A:$A,"Australians",'Keyword Results'!$S:$S)</f>
        <v>0</v>
      </c>
      <c r="R9" s="3">
        <f>SUMIF('Keyword Results'!$A:$A,"Australians",'Keyword Results'!$T:$T)</f>
        <v>0</v>
      </c>
      <c r="S9" s="3">
        <f>SUMIF('Keyword Results'!$A:$A,"Australians",'Keyword Results'!$U:$U)</f>
        <v>0</v>
      </c>
      <c r="T9" s="3">
        <f>SUMIF('Keyword Results'!$A:$A,"Australians",'Keyword Results'!$V:$V)</f>
        <v>0</v>
      </c>
      <c r="U9" s="3">
        <f>SUMIF('Keyword Results'!$A:$A,"Australians",'Keyword Results'!$W:$W)</f>
        <v>0</v>
      </c>
      <c r="V9" s="3">
        <f>SUMIF('Keyword Results'!$A:$A,"Australians",'Keyword Results'!$X:$X)</f>
        <v>0</v>
      </c>
      <c r="W9" s="3">
        <f t="shared" si="0"/>
        <v>0</v>
      </c>
    </row>
    <row r="10" spans="1:23" x14ac:dyDescent="0.2">
      <c r="A10" s="2" t="s">
        <v>37</v>
      </c>
      <c r="B10" s="3">
        <f>SUMIF('Keyword Results'!$A:$A,"Austrians",'Keyword Results'!$D:$D)</f>
        <v>4</v>
      </c>
      <c r="C10" s="3">
        <f>SUMIF('Keyword Results'!$A:$A,"Austrians",'Keyword Results'!$E:$E)</f>
        <v>1</v>
      </c>
      <c r="D10" s="3">
        <f>SUMIF('Keyword Results'!$A:$A,"Austrians",'Keyword Results'!$F:$F)</f>
        <v>0</v>
      </c>
      <c r="E10" s="3">
        <f>SUMIF('Keyword Results'!$A:$A,"Austrians",'Keyword Results'!$G:$G)</f>
        <v>0</v>
      </c>
      <c r="F10" s="3">
        <f>SUMIF('Keyword Results'!$A:$A,"Austrians",'Keyword Results'!$H:$H)</f>
        <v>0</v>
      </c>
      <c r="G10" s="3">
        <f>SUMIF('Keyword Results'!$A:$A,"Austrians",'Keyword Results'!$I:$I)</f>
        <v>0</v>
      </c>
      <c r="H10" s="3">
        <f>SUMIF('Keyword Results'!$A:$A,"Austrians",'Keyword Results'!$J:$J)</f>
        <v>0</v>
      </c>
      <c r="I10" s="3">
        <f>SUMIF('Keyword Results'!$A:$A,"Austrians",'Keyword Results'!$K:$K)</f>
        <v>0</v>
      </c>
      <c r="J10" s="3">
        <f>SUMIF('Keyword Results'!$A:$A,"Austrians",'Keyword Results'!$L:$L)</f>
        <v>0</v>
      </c>
      <c r="K10" s="3">
        <f>SUMIF('Keyword Results'!$A:$A,"Austrians",'Keyword Results'!$M:$M)</f>
        <v>0</v>
      </c>
      <c r="L10" s="3">
        <f>SUMIF('Keyword Results'!$A:$A,"Austrians",'Keyword Results'!$N:$N)</f>
        <v>0</v>
      </c>
      <c r="M10" s="3">
        <f>SUMIF('Keyword Results'!$A:$A,"Austrians",'Keyword Results'!$O:$O)</f>
        <v>0</v>
      </c>
      <c r="N10" s="3">
        <f>SUMIF('Keyword Results'!$A:$A,"Austrians",'Keyword Results'!$P:$P)</f>
        <v>0</v>
      </c>
      <c r="O10" s="3">
        <f>SUMIF('Keyword Results'!$A:$A,"Austrians",'Keyword Results'!$Q:$Q)</f>
        <v>0</v>
      </c>
      <c r="P10" s="3">
        <f>SUMIF('Keyword Results'!$A:$A,"Austrians",'Keyword Results'!$R:$R)</f>
        <v>0</v>
      </c>
      <c r="Q10" s="3">
        <f>SUMIF('Keyword Results'!$A:$A,"Austrians",'Keyword Results'!$S:$S)</f>
        <v>0</v>
      </c>
      <c r="R10" s="3">
        <f>SUMIF('Keyword Results'!$A:$A,"Austrians",'Keyword Results'!$T:$T)</f>
        <v>0</v>
      </c>
      <c r="S10" s="3">
        <f>SUMIF('Keyword Results'!$A:$A,"Austrians",'Keyword Results'!$U:$U)</f>
        <v>0</v>
      </c>
      <c r="T10" s="3">
        <f>SUMIF('Keyword Results'!$A:$A,"Austrians",'Keyword Results'!$V:$V)</f>
        <v>0</v>
      </c>
      <c r="U10" s="3">
        <f>SUMIF('Keyword Results'!$A:$A,"Austrians",'Keyword Results'!$W:$W)</f>
        <v>0</v>
      </c>
      <c r="V10" s="3">
        <f>SUMIF('Keyword Results'!$A:$A,"Austrians",'Keyword Results'!$X:$X)</f>
        <v>0</v>
      </c>
      <c r="W10" s="3">
        <f t="shared" si="0"/>
        <v>1</v>
      </c>
    </row>
    <row r="11" spans="1:23" x14ac:dyDescent="0.2">
      <c r="A11" s="2" t="s">
        <v>38</v>
      </c>
      <c r="B11" s="3">
        <f>SUMIF('Keyword Results'!$A:$A,"Azerbaijanis",'Keyword Results'!$D:$D)</f>
        <v>7</v>
      </c>
      <c r="C11" s="3">
        <f>SUMIF('Keyword Results'!$A:$A,"Azerbaijanis",'Keyword Results'!$E:$E)</f>
        <v>1</v>
      </c>
      <c r="D11" s="3">
        <f>SUMIF('Keyword Results'!$A:$A,"Azerbaijanis",'Keyword Results'!$F:$F)</f>
        <v>0</v>
      </c>
      <c r="E11" s="3">
        <f>SUMIF('Keyword Results'!$A:$A,"Azerbaijanis",'Keyword Results'!$G:$G)</f>
        <v>0</v>
      </c>
      <c r="F11" s="3">
        <f>SUMIF('Keyword Results'!$A:$A,"Azerbaijanis",'Keyword Results'!$H:$H)</f>
        <v>0</v>
      </c>
      <c r="G11" s="3">
        <f>SUMIF('Keyword Results'!$A:$A,"Azerbaijanis",'Keyword Results'!$I:$I)</f>
        <v>0</v>
      </c>
      <c r="H11" s="3">
        <f>SUMIF('Keyword Results'!$A:$A,"Azerbaijanis",'Keyword Results'!$J:$J)</f>
        <v>0</v>
      </c>
      <c r="I11" s="3">
        <f>SUMIF('Keyword Results'!$A:$A,"Azerbaijanis",'Keyword Results'!$K:$K)</f>
        <v>0</v>
      </c>
      <c r="J11" s="3">
        <f>SUMIF('Keyword Results'!$A:$A,"Azerbaijanis",'Keyword Results'!$L:$L)</f>
        <v>0</v>
      </c>
      <c r="K11" s="3">
        <f>SUMIF('Keyword Results'!$A:$A,"Azerbaijanis",'Keyword Results'!$M:$M)</f>
        <v>0</v>
      </c>
      <c r="L11" s="3">
        <f>SUMIF('Keyword Results'!$A:$A,"Azerbaijanis",'Keyword Results'!$N:$N)</f>
        <v>0</v>
      </c>
      <c r="M11" s="3">
        <f>SUMIF('Keyword Results'!$A:$A,"Azerbaijanis",'Keyword Results'!$O:$O)</f>
        <v>0</v>
      </c>
      <c r="N11" s="3">
        <f>SUMIF('Keyword Results'!$A:$A,"Azerbaijanis",'Keyword Results'!$P:$P)</f>
        <v>0</v>
      </c>
      <c r="O11" s="3">
        <f>SUMIF('Keyword Results'!$A:$A,"Azerbaijanis",'Keyword Results'!$Q:$Q)</f>
        <v>0</v>
      </c>
      <c r="P11" s="3">
        <f>SUMIF('Keyword Results'!$A:$A,"Azerbaijanis",'Keyword Results'!$R:$R)</f>
        <v>0</v>
      </c>
      <c r="Q11" s="3">
        <f>SUMIF('Keyword Results'!$A:$A,"Azerbaijanis",'Keyword Results'!$S:$S)</f>
        <v>0</v>
      </c>
      <c r="R11" s="3">
        <f>SUMIF('Keyword Results'!$A:$A,"Azerbaijanis",'Keyword Results'!$T:$T)</f>
        <v>0</v>
      </c>
      <c r="S11" s="3">
        <f>SUMIF('Keyword Results'!$A:$A,"Azerbaijanis",'Keyword Results'!$U:$U)</f>
        <v>0</v>
      </c>
      <c r="T11" s="3">
        <f>SUMIF('Keyword Results'!$A:$A,"Azerbaijanis",'Keyword Results'!$V:$V)</f>
        <v>0</v>
      </c>
      <c r="U11" s="3">
        <f>SUMIF('Keyword Results'!$A:$A,"Azerbaijanis",'Keyword Results'!$W:$W)</f>
        <v>0</v>
      </c>
      <c r="V11" s="3">
        <f>SUMIF('Keyword Results'!$A:$A,"Azerbaijanis",'Keyword Results'!$X:$X)</f>
        <v>0</v>
      </c>
      <c r="W11" s="3">
        <f t="shared" si="0"/>
        <v>1</v>
      </c>
    </row>
    <row r="12" spans="1:23" x14ac:dyDescent="0.2">
      <c r="A12" s="2" t="s">
        <v>39</v>
      </c>
      <c r="B12" s="3">
        <f>SUMIF('Keyword Results'!$A:$A,"Bahamians",'Keyword Results'!$D:$D)</f>
        <v>8</v>
      </c>
      <c r="C12" s="3">
        <f>SUMIF('Keyword Results'!$A:$A,"Bahamians",'Keyword Results'!$E:$E)</f>
        <v>0</v>
      </c>
      <c r="D12" s="3">
        <f>SUMIF('Keyword Results'!$A:$A,"Bahamians",'Keyword Results'!$F:$F)</f>
        <v>0</v>
      </c>
      <c r="E12" s="3">
        <f>SUMIF('Keyword Results'!$A:$A,"Bahamians",'Keyword Results'!$G:$G)</f>
        <v>0</v>
      </c>
      <c r="F12" s="3">
        <f>SUMIF('Keyword Results'!$A:$A,"Bahamians",'Keyword Results'!$H:$H)</f>
        <v>0</v>
      </c>
      <c r="G12" s="3">
        <f>SUMIF('Keyword Results'!$A:$A,"Bahamians",'Keyword Results'!$I:$I)</f>
        <v>0</v>
      </c>
      <c r="H12" s="3">
        <f>SUMIF('Keyword Results'!$A:$A,"Bahamians",'Keyword Results'!$J:$J)</f>
        <v>0</v>
      </c>
      <c r="I12" s="3">
        <f>SUMIF('Keyword Results'!$A:$A,"Bahamians",'Keyword Results'!$K:$K)</f>
        <v>0</v>
      </c>
      <c r="J12" s="3">
        <f>SUMIF('Keyword Results'!$A:$A,"Bahamians",'Keyword Results'!$L:$L)</f>
        <v>0</v>
      </c>
      <c r="K12" s="3">
        <f>SUMIF('Keyword Results'!$A:$A,"Bahamians",'Keyword Results'!$M:$M)</f>
        <v>0</v>
      </c>
      <c r="L12" s="3">
        <f>SUMIF('Keyword Results'!$A:$A,"Bahamians",'Keyword Results'!$N:$N)</f>
        <v>0</v>
      </c>
      <c r="M12" s="3">
        <f>SUMIF('Keyword Results'!$A:$A,"Bahamians",'Keyword Results'!$O:$O)</f>
        <v>0</v>
      </c>
      <c r="N12" s="3">
        <f>SUMIF('Keyword Results'!$A:$A,"Bahamians",'Keyword Results'!$P:$P)</f>
        <v>0</v>
      </c>
      <c r="O12" s="3">
        <f>SUMIF('Keyword Results'!$A:$A,"Bahamians",'Keyword Results'!$Q:$Q)</f>
        <v>0</v>
      </c>
      <c r="P12" s="3">
        <f>SUMIF('Keyword Results'!$A:$A,"Bahamians",'Keyword Results'!$R:$R)</f>
        <v>0</v>
      </c>
      <c r="Q12" s="3">
        <f>SUMIF('Keyword Results'!$A:$A,"Bahamians",'Keyword Results'!$S:$S)</f>
        <v>0</v>
      </c>
      <c r="R12" s="3">
        <f>SUMIF('Keyword Results'!$A:$A,"Bahamians",'Keyword Results'!$T:$T)</f>
        <v>0</v>
      </c>
      <c r="S12" s="3">
        <f>SUMIF('Keyword Results'!$A:$A,"Bahamians",'Keyword Results'!$U:$U)</f>
        <v>0</v>
      </c>
      <c r="T12" s="3">
        <f>SUMIF('Keyword Results'!$A:$A,"Bahamians",'Keyword Results'!$V:$V)</f>
        <v>0</v>
      </c>
      <c r="U12" s="3">
        <f>SUMIF('Keyword Results'!$A:$A,"Bahamians",'Keyword Results'!$W:$W)</f>
        <v>0</v>
      </c>
      <c r="V12" s="3">
        <f>SUMIF('Keyword Results'!$A:$A,"Bahamians",'Keyword Results'!$X:$X)</f>
        <v>0</v>
      </c>
      <c r="W12" s="3">
        <f t="shared" si="0"/>
        <v>0</v>
      </c>
    </row>
    <row r="13" spans="1:23" x14ac:dyDescent="0.2">
      <c r="A13" s="2" t="s">
        <v>40</v>
      </c>
      <c r="B13" s="3">
        <f>SUMIF('Keyword Results'!$A:$A,"Bangladeshis",'Keyword Results'!$D:$D)</f>
        <v>8</v>
      </c>
      <c r="C13" s="3">
        <f>SUMIF('Keyword Results'!$A:$A,"Bangladeshis",'Keyword Results'!$E:$E)</f>
        <v>1</v>
      </c>
      <c r="D13" s="3">
        <f>SUMIF('Keyword Results'!$A:$A,"Bangladeshis",'Keyword Results'!$F:$F)</f>
        <v>0</v>
      </c>
      <c r="E13" s="3">
        <f>SUMIF('Keyword Results'!$A:$A,"Bangladeshis",'Keyword Results'!$G:$G)</f>
        <v>0</v>
      </c>
      <c r="F13" s="3">
        <f>SUMIF('Keyword Results'!$A:$A,"Bangladeshis",'Keyword Results'!$H:$H)</f>
        <v>0</v>
      </c>
      <c r="G13" s="3">
        <f>SUMIF('Keyword Results'!$A:$A,"Bangladeshis",'Keyword Results'!$I:$I)</f>
        <v>0</v>
      </c>
      <c r="H13" s="3">
        <f>SUMIF('Keyword Results'!$A:$A,"Bangladeshis",'Keyword Results'!$J:$J)</f>
        <v>0</v>
      </c>
      <c r="I13" s="3">
        <f>SUMIF('Keyword Results'!$A:$A,"Bangladeshis",'Keyword Results'!$K:$K)</f>
        <v>0</v>
      </c>
      <c r="J13" s="3">
        <f>SUMIF('Keyword Results'!$A:$A,"Bangladeshis",'Keyword Results'!$L:$L)</f>
        <v>0</v>
      </c>
      <c r="K13" s="3">
        <f>SUMIF('Keyword Results'!$A:$A,"Bangladeshis",'Keyword Results'!$M:$M)</f>
        <v>0</v>
      </c>
      <c r="L13" s="3">
        <f>SUMIF('Keyword Results'!$A:$A,"Bangladeshis",'Keyword Results'!$N:$N)</f>
        <v>0</v>
      </c>
      <c r="M13" s="3">
        <f>SUMIF('Keyword Results'!$A:$A,"Bangladeshis",'Keyword Results'!$O:$O)</f>
        <v>0</v>
      </c>
      <c r="N13" s="3">
        <f>SUMIF('Keyword Results'!$A:$A,"Bangladeshis",'Keyword Results'!$P:$P)</f>
        <v>0</v>
      </c>
      <c r="O13" s="3">
        <f>SUMIF('Keyword Results'!$A:$A,"Bangladeshis",'Keyword Results'!$Q:$Q)</f>
        <v>0</v>
      </c>
      <c r="P13" s="3">
        <f>SUMIF('Keyword Results'!$A:$A,"Bangladeshis",'Keyword Results'!$R:$R)</f>
        <v>0</v>
      </c>
      <c r="Q13" s="3">
        <f>SUMIF('Keyword Results'!$A:$A,"Bangladeshis",'Keyword Results'!$S:$S)</f>
        <v>0</v>
      </c>
      <c r="R13" s="3">
        <f>SUMIF('Keyword Results'!$A:$A,"Bangladeshis",'Keyword Results'!$T:$T)</f>
        <v>0</v>
      </c>
      <c r="S13" s="3">
        <f>SUMIF('Keyword Results'!$A:$A,"Bangladeshis",'Keyword Results'!$U:$U)</f>
        <v>0</v>
      </c>
      <c r="T13" s="3">
        <f>SUMIF('Keyword Results'!$A:$A,"Bangladeshis",'Keyword Results'!$V:$V)</f>
        <v>0</v>
      </c>
      <c r="U13" s="3">
        <f>SUMIF('Keyword Results'!$A:$A,"Bangladeshis",'Keyword Results'!$W:$W)</f>
        <v>0</v>
      </c>
      <c r="V13" s="3">
        <f>SUMIF('Keyword Results'!$A:$A,"Bangladeshis",'Keyword Results'!$X:$X)</f>
        <v>0</v>
      </c>
      <c r="W13" s="3">
        <f t="shared" si="0"/>
        <v>1</v>
      </c>
    </row>
    <row r="14" spans="1:23" x14ac:dyDescent="0.2">
      <c r="A14" s="2" t="s">
        <v>41</v>
      </c>
      <c r="B14" s="3">
        <f>SUMIF('Keyword Results'!$A:$A,"Barbadians",'Keyword Results'!$D:$D)</f>
        <v>7</v>
      </c>
      <c r="C14" s="3">
        <f>SUMIF('Keyword Results'!$A:$A,"Barbadians",'Keyword Results'!$E:$E)</f>
        <v>0</v>
      </c>
      <c r="D14" s="3">
        <f>SUMIF('Keyword Results'!$A:$A,"Barbadians",'Keyword Results'!$F:$F)</f>
        <v>0</v>
      </c>
      <c r="E14" s="3">
        <f>SUMIF('Keyword Results'!$A:$A,"Barbadians",'Keyword Results'!$G:$G)</f>
        <v>0</v>
      </c>
      <c r="F14" s="3">
        <f>SUMIF('Keyword Results'!$A:$A,"Barbadians",'Keyword Results'!$H:$H)</f>
        <v>0</v>
      </c>
      <c r="G14" s="3">
        <f>SUMIF('Keyword Results'!$A:$A,"Barbadians",'Keyword Results'!$I:$I)</f>
        <v>0</v>
      </c>
      <c r="H14" s="3">
        <f>SUMIF('Keyword Results'!$A:$A,"Barbadians",'Keyword Results'!$J:$J)</f>
        <v>0</v>
      </c>
      <c r="I14" s="3">
        <f>SUMIF('Keyword Results'!$A:$A,"Barbadians",'Keyword Results'!$K:$K)</f>
        <v>0</v>
      </c>
      <c r="J14" s="3">
        <f>SUMIF('Keyword Results'!$A:$A,"Barbadians",'Keyword Results'!$L:$L)</f>
        <v>0</v>
      </c>
      <c r="K14" s="3">
        <f>SUMIF('Keyword Results'!$A:$A,"Barbadians",'Keyword Results'!$M:$M)</f>
        <v>0</v>
      </c>
      <c r="L14" s="3">
        <f>SUMIF('Keyword Results'!$A:$A,"Barbadians",'Keyword Results'!$N:$N)</f>
        <v>0</v>
      </c>
      <c r="M14" s="3">
        <f>SUMIF('Keyword Results'!$A:$A,"Barbadians",'Keyword Results'!$O:$O)</f>
        <v>0</v>
      </c>
      <c r="N14" s="3">
        <f>SUMIF('Keyword Results'!$A:$A,"Barbadians",'Keyword Results'!$P:$P)</f>
        <v>0</v>
      </c>
      <c r="O14" s="3">
        <f>SUMIF('Keyword Results'!$A:$A,"Barbadians",'Keyword Results'!$Q:$Q)</f>
        <v>0</v>
      </c>
      <c r="P14" s="3">
        <f>SUMIF('Keyword Results'!$A:$A,"Barbadians",'Keyword Results'!$R:$R)</f>
        <v>0</v>
      </c>
      <c r="Q14" s="3">
        <f>SUMIF('Keyword Results'!$A:$A,"Barbadians",'Keyword Results'!$S:$S)</f>
        <v>0</v>
      </c>
      <c r="R14" s="3">
        <f>SUMIF('Keyword Results'!$A:$A,"Barbadians",'Keyword Results'!$T:$T)</f>
        <v>0</v>
      </c>
      <c r="S14" s="3">
        <f>SUMIF('Keyword Results'!$A:$A,"Barbadians",'Keyword Results'!$U:$U)</f>
        <v>0</v>
      </c>
      <c r="T14" s="3">
        <f>SUMIF('Keyword Results'!$A:$A,"Barbadians",'Keyword Results'!$V:$V)</f>
        <v>0</v>
      </c>
      <c r="U14" s="3">
        <f>SUMIF('Keyword Results'!$A:$A,"Barbadians",'Keyword Results'!$W:$W)</f>
        <v>0</v>
      </c>
      <c r="V14" s="3">
        <f>SUMIF('Keyword Results'!$A:$A,"Barbadians",'Keyword Results'!$X:$X)</f>
        <v>0</v>
      </c>
      <c r="W14" s="3">
        <f t="shared" si="0"/>
        <v>0</v>
      </c>
    </row>
    <row r="15" spans="1:23" x14ac:dyDescent="0.2">
      <c r="A15" s="2" t="s">
        <v>42</v>
      </c>
      <c r="B15" s="3">
        <f>SUMIF('Keyword Results'!$A:$A,"Belarusians",'Keyword Results'!$D:$D)</f>
        <v>8</v>
      </c>
      <c r="C15" s="3">
        <f>SUMIF('Keyword Results'!$A:$A,"Belarusians",'Keyword Results'!$E:$E)</f>
        <v>0</v>
      </c>
      <c r="D15" s="3">
        <f>SUMIF('Keyword Results'!$A:$A,"Belarusians",'Keyword Results'!$F:$F)</f>
        <v>0</v>
      </c>
      <c r="E15" s="3">
        <f>SUMIF('Keyword Results'!$A:$A,"Belarusians",'Keyword Results'!$G:$G)</f>
        <v>0</v>
      </c>
      <c r="F15" s="3">
        <f>SUMIF('Keyword Results'!$A:$A,"Belarusians",'Keyword Results'!$H:$H)</f>
        <v>0</v>
      </c>
      <c r="G15" s="3">
        <f>SUMIF('Keyword Results'!$A:$A,"Belarusians",'Keyword Results'!$I:$I)</f>
        <v>0</v>
      </c>
      <c r="H15" s="3">
        <f>SUMIF('Keyword Results'!$A:$A,"Belarusians",'Keyword Results'!$J:$J)</f>
        <v>0</v>
      </c>
      <c r="I15" s="3">
        <f>SUMIF('Keyword Results'!$A:$A,"Belarusians",'Keyword Results'!$K:$K)</f>
        <v>0</v>
      </c>
      <c r="J15" s="3">
        <f>SUMIF('Keyword Results'!$A:$A,"Belarusians",'Keyword Results'!$L:$L)</f>
        <v>0</v>
      </c>
      <c r="K15" s="3">
        <f>SUMIF('Keyword Results'!$A:$A,"Belarusians",'Keyword Results'!$M:$M)</f>
        <v>0</v>
      </c>
      <c r="L15" s="3">
        <f>SUMIF('Keyword Results'!$A:$A,"Belarusians",'Keyword Results'!$N:$N)</f>
        <v>0</v>
      </c>
      <c r="M15" s="3">
        <f>SUMIF('Keyword Results'!$A:$A,"Belarusians",'Keyword Results'!$O:$O)</f>
        <v>0</v>
      </c>
      <c r="N15" s="3">
        <f>SUMIF('Keyword Results'!$A:$A,"Belarusians",'Keyword Results'!$P:$P)</f>
        <v>0</v>
      </c>
      <c r="O15" s="3">
        <f>SUMIF('Keyword Results'!$A:$A,"Belarusians",'Keyword Results'!$Q:$Q)</f>
        <v>0</v>
      </c>
      <c r="P15" s="3">
        <f>SUMIF('Keyword Results'!$A:$A,"Belarusians",'Keyword Results'!$R:$R)</f>
        <v>0</v>
      </c>
      <c r="Q15" s="3">
        <f>SUMIF('Keyword Results'!$A:$A,"Belarusians",'Keyword Results'!$S:$S)</f>
        <v>0</v>
      </c>
      <c r="R15" s="3">
        <f>SUMIF('Keyword Results'!$A:$A,"Belarusians",'Keyword Results'!$T:$T)</f>
        <v>0</v>
      </c>
      <c r="S15" s="3">
        <f>SUMIF('Keyword Results'!$A:$A,"Belarusians",'Keyword Results'!$U:$U)</f>
        <v>0</v>
      </c>
      <c r="T15" s="3">
        <f>SUMIF('Keyword Results'!$A:$A,"Belarusians",'Keyword Results'!$V:$V)</f>
        <v>0</v>
      </c>
      <c r="U15" s="3">
        <f>SUMIF('Keyword Results'!$A:$A,"Belarusians",'Keyword Results'!$W:$W)</f>
        <v>0</v>
      </c>
      <c r="V15" s="3">
        <f>SUMIF('Keyword Results'!$A:$A,"Belarusians",'Keyword Results'!$X:$X)</f>
        <v>0</v>
      </c>
      <c r="W15" s="3">
        <f t="shared" si="0"/>
        <v>0</v>
      </c>
    </row>
    <row r="16" spans="1:23" x14ac:dyDescent="0.2">
      <c r="A16" s="2" t="s">
        <v>43</v>
      </c>
      <c r="B16" s="3">
        <f>SUMIF('Keyword Results'!$A:$A,"Belgians",'Keyword Results'!$D:$D)</f>
        <v>6</v>
      </c>
      <c r="C16" s="3">
        <f>SUMIF('Keyword Results'!$A:$A,"Belgians",'Keyword Results'!$E:$E)</f>
        <v>0</v>
      </c>
      <c r="D16" s="3">
        <f>SUMIF('Keyword Results'!$A:$A,"Belgians",'Keyword Results'!$F:$F)</f>
        <v>0</v>
      </c>
      <c r="E16" s="3">
        <f>SUMIF('Keyword Results'!$A:$A,"Belgians",'Keyword Results'!$G:$G)</f>
        <v>0</v>
      </c>
      <c r="F16" s="3">
        <f>SUMIF('Keyword Results'!$A:$A,"Belgians",'Keyword Results'!$H:$H)</f>
        <v>0</v>
      </c>
      <c r="G16" s="3">
        <f>SUMIF('Keyword Results'!$A:$A,"Belgians",'Keyword Results'!$I:$I)</f>
        <v>0</v>
      </c>
      <c r="H16" s="3">
        <f>SUMIF('Keyword Results'!$A:$A,"Belgians",'Keyword Results'!$J:$J)</f>
        <v>0</v>
      </c>
      <c r="I16" s="3">
        <f>SUMIF('Keyword Results'!$A:$A,"Belgians",'Keyword Results'!$K:$K)</f>
        <v>0</v>
      </c>
      <c r="J16" s="3">
        <f>SUMIF('Keyword Results'!$A:$A,"Belgians",'Keyword Results'!$L:$L)</f>
        <v>0</v>
      </c>
      <c r="K16" s="3">
        <f>SUMIF('Keyword Results'!$A:$A,"Belgians",'Keyword Results'!$M:$M)</f>
        <v>0</v>
      </c>
      <c r="L16" s="3">
        <f>SUMIF('Keyword Results'!$A:$A,"Belgians",'Keyword Results'!$N:$N)</f>
        <v>0</v>
      </c>
      <c r="M16" s="3">
        <f>SUMIF('Keyword Results'!$A:$A,"Belgians",'Keyword Results'!$O:$O)</f>
        <v>0</v>
      </c>
      <c r="N16" s="3">
        <f>SUMIF('Keyword Results'!$A:$A,"Belgians",'Keyword Results'!$P:$P)</f>
        <v>0</v>
      </c>
      <c r="O16" s="3">
        <f>SUMIF('Keyword Results'!$A:$A,"Belgians",'Keyword Results'!$Q:$Q)</f>
        <v>0</v>
      </c>
      <c r="P16" s="3">
        <f>SUMIF('Keyword Results'!$A:$A,"Belgians",'Keyword Results'!$R:$R)</f>
        <v>0</v>
      </c>
      <c r="Q16" s="3">
        <f>SUMIF('Keyword Results'!$A:$A,"Belgians",'Keyword Results'!$S:$S)</f>
        <v>0</v>
      </c>
      <c r="R16" s="3">
        <f>SUMIF('Keyword Results'!$A:$A,"Belgians",'Keyword Results'!$T:$T)</f>
        <v>0</v>
      </c>
      <c r="S16" s="3">
        <f>SUMIF('Keyword Results'!$A:$A,"Belgians",'Keyword Results'!$U:$U)</f>
        <v>0</v>
      </c>
      <c r="T16" s="3">
        <f>SUMIF('Keyword Results'!$A:$A,"Belgians",'Keyword Results'!$V:$V)</f>
        <v>0</v>
      </c>
      <c r="U16" s="3">
        <f>SUMIF('Keyword Results'!$A:$A,"Belgians",'Keyword Results'!$W:$W)</f>
        <v>0</v>
      </c>
      <c r="V16" s="3">
        <f>SUMIF('Keyword Results'!$A:$A,"Belgians",'Keyword Results'!$X:$X)</f>
        <v>0</v>
      </c>
      <c r="W16" s="3">
        <f t="shared" si="0"/>
        <v>0</v>
      </c>
    </row>
    <row r="17" spans="1:23" x14ac:dyDescent="0.2">
      <c r="A17" s="2" t="s">
        <v>44</v>
      </c>
      <c r="B17" s="3">
        <f>SUMIF('Keyword Results'!$A:$A,"Belizeans",'Keyword Results'!$D:$D)</f>
        <v>6</v>
      </c>
      <c r="C17" s="3">
        <f>SUMIF('Keyword Results'!$A:$A,"Belizeans",'Keyword Results'!$E:$E)</f>
        <v>0</v>
      </c>
      <c r="D17" s="3">
        <f>SUMIF('Keyword Results'!$A:$A,"Belizeans",'Keyword Results'!$F:$F)</f>
        <v>0</v>
      </c>
      <c r="E17" s="3">
        <f>SUMIF('Keyword Results'!$A:$A,"Belizeans",'Keyword Results'!$G:$G)</f>
        <v>0</v>
      </c>
      <c r="F17" s="3">
        <f>SUMIF('Keyword Results'!$A:$A,"Belizeans",'Keyword Results'!$H:$H)</f>
        <v>0</v>
      </c>
      <c r="G17" s="3">
        <f>SUMIF('Keyword Results'!$A:$A,"Belizeans",'Keyword Results'!$I:$I)</f>
        <v>0</v>
      </c>
      <c r="H17" s="3">
        <f>SUMIF('Keyword Results'!$A:$A,"Belizeans",'Keyword Results'!$J:$J)</f>
        <v>0</v>
      </c>
      <c r="I17" s="3">
        <f>SUMIF('Keyword Results'!$A:$A,"Belizeans",'Keyword Results'!$K:$K)</f>
        <v>0</v>
      </c>
      <c r="J17" s="3">
        <f>SUMIF('Keyword Results'!$A:$A,"Belizeans",'Keyword Results'!$L:$L)</f>
        <v>0</v>
      </c>
      <c r="K17" s="3">
        <f>SUMIF('Keyword Results'!$A:$A,"Belizeans",'Keyword Results'!$M:$M)</f>
        <v>0</v>
      </c>
      <c r="L17" s="3">
        <f>SUMIF('Keyword Results'!$A:$A,"Belizeans",'Keyword Results'!$N:$N)</f>
        <v>0</v>
      </c>
      <c r="M17" s="3">
        <f>SUMIF('Keyword Results'!$A:$A,"Belizeans",'Keyword Results'!$O:$O)</f>
        <v>0</v>
      </c>
      <c r="N17" s="3">
        <f>SUMIF('Keyword Results'!$A:$A,"Belizeans",'Keyword Results'!$P:$P)</f>
        <v>0</v>
      </c>
      <c r="O17" s="3">
        <f>SUMIF('Keyword Results'!$A:$A,"Belizeans",'Keyword Results'!$Q:$Q)</f>
        <v>0</v>
      </c>
      <c r="P17" s="3">
        <f>SUMIF('Keyword Results'!$A:$A,"Belizeans",'Keyword Results'!$R:$R)</f>
        <v>0</v>
      </c>
      <c r="Q17" s="3">
        <f>SUMIF('Keyword Results'!$A:$A,"Belizeans",'Keyword Results'!$S:$S)</f>
        <v>0</v>
      </c>
      <c r="R17" s="3">
        <f>SUMIF('Keyword Results'!$A:$A,"Belizeans",'Keyword Results'!$T:$T)</f>
        <v>0</v>
      </c>
      <c r="S17" s="3">
        <f>SUMIF('Keyword Results'!$A:$A,"Belizeans",'Keyword Results'!$U:$U)</f>
        <v>0</v>
      </c>
      <c r="T17" s="3">
        <f>SUMIF('Keyword Results'!$A:$A,"Belizeans",'Keyword Results'!$V:$V)</f>
        <v>0</v>
      </c>
      <c r="U17" s="3">
        <f>SUMIF('Keyword Results'!$A:$A,"Belizeans",'Keyword Results'!$W:$W)</f>
        <v>0</v>
      </c>
      <c r="V17" s="3">
        <f>SUMIF('Keyword Results'!$A:$A,"Belizeans",'Keyword Results'!$X:$X)</f>
        <v>0</v>
      </c>
      <c r="W17" s="3">
        <f t="shared" si="0"/>
        <v>0</v>
      </c>
    </row>
    <row r="18" spans="1:23" x14ac:dyDescent="0.2">
      <c r="A18" s="2" t="s">
        <v>45</v>
      </c>
      <c r="B18" s="3">
        <f>SUMIF('Keyword Results'!$A:$A,"Bolivians",'Keyword Results'!$D:$D)</f>
        <v>9</v>
      </c>
      <c r="C18" s="3">
        <f>SUMIF('Keyword Results'!$A:$A,"Bolivians",'Keyword Results'!$E:$E)</f>
        <v>0</v>
      </c>
      <c r="D18" s="3">
        <f>SUMIF('Keyword Results'!$A:$A,"Bolivians",'Keyword Results'!$F:$F)</f>
        <v>0</v>
      </c>
      <c r="E18" s="3">
        <f>SUMIF('Keyword Results'!$A:$A,"Bolivians",'Keyword Results'!$G:$G)</f>
        <v>0</v>
      </c>
      <c r="F18" s="3">
        <f>SUMIF('Keyword Results'!$A:$A,"Bolivians",'Keyword Results'!$H:$H)</f>
        <v>0</v>
      </c>
      <c r="G18" s="3">
        <f>SUMIF('Keyword Results'!$A:$A,"Bolivians",'Keyword Results'!$I:$I)</f>
        <v>0</v>
      </c>
      <c r="H18" s="3">
        <f>SUMIF('Keyword Results'!$A:$A,"Bolivians",'Keyword Results'!$J:$J)</f>
        <v>0</v>
      </c>
      <c r="I18" s="3">
        <f>SUMIF('Keyword Results'!$A:$A,"Bolivians",'Keyword Results'!$K:$K)</f>
        <v>0</v>
      </c>
      <c r="J18" s="3">
        <f>SUMIF('Keyword Results'!$A:$A,"Bolivians",'Keyword Results'!$L:$L)</f>
        <v>0</v>
      </c>
      <c r="K18" s="3">
        <f>SUMIF('Keyword Results'!$A:$A,"Bolivians",'Keyword Results'!$M:$M)</f>
        <v>0</v>
      </c>
      <c r="L18" s="3">
        <f>SUMIF('Keyword Results'!$A:$A,"Bolivians",'Keyword Results'!$N:$N)</f>
        <v>0</v>
      </c>
      <c r="M18" s="3">
        <f>SUMIF('Keyword Results'!$A:$A,"Bolivians",'Keyword Results'!$O:$O)</f>
        <v>0</v>
      </c>
      <c r="N18" s="3">
        <f>SUMIF('Keyword Results'!$A:$A,"Bolivians",'Keyword Results'!$P:$P)</f>
        <v>0</v>
      </c>
      <c r="O18" s="3">
        <f>SUMIF('Keyword Results'!$A:$A,"Bolivians",'Keyword Results'!$Q:$Q)</f>
        <v>0</v>
      </c>
      <c r="P18" s="3">
        <f>SUMIF('Keyword Results'!$A:$A,"Bolivians",'Keyword Results'!$R:$R)</f>
        <v>0</v>
      </c>
      <c r="Q18" s="3">
        <f>SUMIF('Keyword Results'!$A:$A,"Bolivians",'Keyword Results'!$S:$S)</f>
        <v>0</v>
      </c>
      <c r="R18" s="3">
        <f>SUMIF('Keyword Results'!$A:$A,"Bolivians",'Keyword Results'!$T:$T)</f>
        <v>0</v>
      </c>
      <c r="S18" s="3">
        <f>SUMIF('Keyword Results'!$A:$A,"Bolivians",'Keyword Results'!$U:$U)</f>
        <v>0</v>
      </c>
      <c r="T18" s="3">
        <f>SUMIF('Keyword Results'!$A:$A,"Bolivians",'Keyword Results'!$V:$V)</f>
        <v>0</v>
      </c>
      <c r="U18" s="3">
        <f>SUMIF('Keyword Results'!$A:$A,"Bolivians",'Keyword Results'!$W:$W)</f>
        <v>0</v>
      </c>
      <c r="V18" s="3">
        <f>SUMIF('Keyword Results'!$A:$A,"Bolivians",'Keyword Results'!$X:$X)</f>
        <v>0</v>
      </c>
      <c r="W18" s="3">
        <f t="shared" si="0"/>
        <v>0</v>
      </c>
    </row>
    <row r="19" spans="1:23" x14ac:dyDescent="0.2">
      <c r="A19" s="2" t="s">
        <v>46</v>
      </c>
      <c r="B19" s="3">
        <f>SUMIF('Keyword Results'!$A:$A,"Brazilians",'Keyword Results'!$D:$D)</f>
        <v>14</v>
      </c>
      <c r="C19" s="3">
        <f>SUMIF('Keyword Results'!$A:$A,"Brazilians",'Keyword Results'!$E:$E)</f>
        <v>1</v>
      </c>
      <c r="D19" s="3">
        <f>SUMIF('Keyword Results'!$A:$A,"Brazilians",'Keyword Results'!$F:$F)</f>
        <v>0</v>
      </c>
      <c r="E19" s="3">
        <f>SUMIF('Keyword Results'!$A:$A,"Brazilians",'Keyword Results'!$G:$G)</f>
        <v>0</v>
      </c>
      <c r="F19" s="3">
        <f>SUMIF('Keyword Results'!$A:$A,"Brazilians",'Keyword Results'!$H:$H)</f>
        <v>0</v>
      </c>
      <c r="G19" s="3">
        <f>SUMIF('Keyword Results'!$A:$A,"Brazilians",'Keyword Results'!$I:$I)</f>
        <v>0</v>
      </c>
      <c r="H19" s="3">
        <f>SUMIF('Keyword Results'!$A:$A,"Brazilians",'Keyword Results'!$J:$J)</f>
        <v>0</v>
      </c>
      <c r="I19" s="3">
        <f>SUMIF('Keyword Results'!$A:$A,"Brazilians",'Keyword Results'!$K:$K)</f>
        <v>0</v>
      </c>
      <c r="J19" s="3">
        <f>SUMIF('Keyword Results'!$A:$A,"Brazilians",'Keyword Results'!$L:$L)</f>
        <v>0</v>
      </c>
      <c r="K19" s="3">
        <f>SUMIF('Keyword Results'!$A:$A,"Brazilians",'Keyword Results'!$M:$M)</f>
        <v>0</v>
      </c>
      <c r="L19" s="3">
        <f>SUMIF('Keyword Results'!$A:$A,"Brazilians",'Keyword Results'!$N:$N)</f>
        <v>0</v>
      </c>
      <c r="M19" s="3">
        <f>SUMIF('Keyword Results'!$A:$A,"Brazilians",'Keyword Results'!$O:$O)</f>
        <v>0</v>
      </c>
      <c r="N19" s="3">
        <f>SUMIF('Keyword Results'!$A:$A,"Brazilians",'Keyword Results'!$P:$P)</f>
        <v>0</v>
      </c>
      <c r="O19" s="3">
        <f>SUMIF('Keyword Results'!$A:$A,"Brazilians",'Keyword Results'!$Q:$Q)</f>
        <v>0</v>
      </c>
      <c r="P19" s="3">
        <f>SUMIF('Keyword Results'!$A:$A,"Brazilians",'Keyword Results'!$R:$R)</f>
        <v>0</v>
      </c>
      <c r="Q19" s="3">
        <f>SUMIF('Keyword Results'!$A:$A,"Brazilians",'Keyword Results'!$S:$S)</f>
        <v>0</v>
      </c>
      <c r="R19" s="3">
        <f>SUMIF('Keyword Results'!$A:$A,"Brazilians",'Keyword Results'!$T:$T)</f>
        <v>0</v>
      </c>
      <c r="S19" s="3">
        <f>SUMIF('Keyword Results'!$A:$A,"Brazilians",'Keyword Results'!$U:$U)</f>
        <v>0</v>
      </c>
      <c r="T19" s="3">
        <f>SUMIF('Keyword Results'!$A:$A,"Brazilians",'Keyword Results'!$V:$V)</f>
        <v>0</v>
      </c>
      <c r="U19" s="3">
        <f>SUMIF('Keyword Results'!$A:$A,"Brazilians",'Keyword Results'!$W:$W)</f>
        <v>0</v>
      </c>
      <c r="V19" s="3">
        <f>SUMIF('Keyword Results'!$A:$A,"Brazilians",'Keyword Results'!$X:$X)</f>
        <v>0</v>
      </c>
      <c r="W19" s="3">
        <f t="shared" si="0"/>
        <v>1</v>
      </c>
    </row>
    <row r="20" spans="1:23" x14ac:dyDescent="0.2">
      <c r="A20" s="2" t="s">
        <v>47</v>
      </c>
      <c r="B20" s="3">
        <f>SUMIF('Keyword Results'!$A:$A,"British_people",'Keyword Results'!$D:$D)</f>
        <v>14</v>
      </c>
      <c r="C20" s="3">
        <f>SUMIF('Keyword Results'!$A:$A,"British_people",'Keyword Results'!$E:$E)</f>
        <v>9</v>
      </c>
      <c r="D20" s="3">
        <f>SUMIF('Keyword Results'!$A:$A,"British_people",'Keyword Results'!$F:$F)</f>
        <v>1</v>
      </c>
      <c r="E20" s="3">
        <f>SUMIF('Keyword Results'!$A:$A,"British_people",'Keyword Results'!$G:$G)</f>
        <v>0</v>
      </c>
      <c r="F20" s="3">
        <f>SUMIF('Keyword Results'!$A:$A,"British_people",'Keyword Results'!$H:$H)</f>
        <v>0</v>
      </c>
      <c r="G20" s="3">
        <f>SUMIF('Keyword Results'!$A:$A,"British_people",'Keyword Results'!$I:$I)</f>
        <v>0</v>
      </c>
      <c r="H20" s="3">
        <f>SUMIF('Keyword Results'!$A:$A,"British_people",'Keyword Results'!$J:$J)</f>
        <v>0</v>
      </c>
      <c r="I20" s="3">
        <f>SUMIF('Keyword Results'!$A:$A,"British_people",'Keyword Results'!$K:$K)</f>
        <v>0</v>
      </c>
      <c r="J20" s="3">
        <f>SUMIF('Keyword Results'!$A:$A,"British_people",'Keyword Results'!$L:$L)</f>
        <v>0</v>
      </c>
      <c r="K20" s="3">
        <f>SUMIF('Keyword Results'!$A:$A,"British_people",'Keyword Results'!$M:$M)</f>
        <v>0</v>
      </c>
      <c r="L20" s="3">
        <f>SUMIF('Keyword Results'!$A:$A,"British_people",'Keyword Results'!$N:$N)</f>
        <v>0</v>
      </c>
      <c r="M20" s="3">
        <f>SUMIF('Keyword Results'!$A:$A,"British_people",'Keyword Results'!$O:$O)</f>
        <v>0</v>
      </c>
      <c r="N20" s="3">
        <f>SUMIF('Keyword Results'!$A:$A,"British_people",'Keyword Results'!$P:$P)</f>
        <v>0</v>
      </c>
      <c r="O20" s="3">
        <f>SUMIF('Keyword Results'!$A:$A,"British_people",'Keyword Results'!$Q:$Q)</f>
        <v>0</v>
      </c>
      <c r="P20" s="3">
        <f>SUMIF('Keyword Results'!$A:$A,"British_people",'Keyword Results'!$R:$R)</f>
        <v>0</v>
      </c>
      <c r="Q20" s="3">
        <f>SUMIF('Keyword Results'!$A:$A,"British_people",'Keyword Results'!$S:$S)</f>
        <v>0</v>
      </c>
      <c r="R20" s="3">
        <f>SUMIF('Keyword Results'!$A:$A,"British_people",'Keyword Results'!$T:$T)</f>
        <v>0</v>
      </c>
      <c r="S20" s="3">
        <f>SUMIF('Keyword Results'!$A:$A,"British_people",'Keyword Results'!$U:$U)</f>
        <v>0</v>
      </c>
      <c r="T20" s="3">
        <f>SUMIF('Keyword Results'!$A:$A,"British_people",'Keyword Results'!$V:$V)</f>
        <v>0</v>
      </c>
      <c r="U20" s="3">
        <f>SUMIF('Keyword Results'!$A:$A,"British_people",'Keyword Results'!$W:$W)</f>
        <v>0</v>
      </c>
      <c r="V20" s="3">
        <f>SUMIF('Keyword Results'!$A:$A,"British_people",'Keyword Results'!$X:$X)</f>
        <v>0</v>
      </c>
      <c r="W20" s="3">
        <f t="shared" si="0"/>
        <v>10</v>
      </c>
    </row>
    <row r="21" spans="1:23" x14ac:dyDescent="0.2">
      <c r="A21" s="2" t="s">
        <v>48</v>
      </c>
      <c r="B21" s="3">
        <f>SUMIF('Keyword Results'!$A:$A,"Bulgarians",'Keyword Results'!$D:$D)</f>
        <v>6</v>
      </c>
      <c r="C21" s="3">
        <f>SUMIF('Keyword Results'!$A:$A,"Bulgarians",'Keyword Results'!$E:$E)</f>
        <v>1</v>
      </c>
      <c r="D21" s="3">
        <f>SUMIF('Keyword Results'!$A:$A,"Bulgarians",'Keyword Results'!$F:$F)</f>
        <v>0</v>
      </c>
      <c r="E21" s="3">
        <f>SUMIF('Keyword Results'!$A:$A,"Bulgarians",'Keyword Results'!$G:$G)</f>
        <v>0</v>
      </c>
      <c r="F21" s="3">
        <f>SUMIF('Keyword Results'!$A:$A,"Bulgarians",'Keyword Results'!$H:$H)</f>
        <v>0</v>
      </c>
      <c r="G21" s="3">
        <f>SUMIF('Keyword Results'!$A:$A,"Bulgarians",'Keyword Results'!$I:$I)</f>
        <v>0</v>
      </c>
      <c r="H21" s="3">
        <f>SUMIF('Keyword Results'!$A:$A,"Bulgarians",'Keyword Results'!$J:$J)</f>
        <v>0</v>
      </c>
      <c r="I21" s="3">
        <f>SUMIF('Keyword Results'!$A:$A,"Bulgarians",'Keyword Results'!$K:$K)</f>
        <v>0</v>
      </c>
      <c r="J21" s="3">
        <f>SUMIF('Keyword Results'!$A:$A,"Bulgarians",'Keyword Results'!$L:$L)</f>
        <v>0</v>
      </c>
      <c r="K21" s="3">
        <f>SUMIF('Keyword Results'!$A:$A,"Bulgarians",'Keyword Results'!$M:$M)</f>
        <v>0</v>
      </c>
      <c r="L21" s="3">
        <f>SUMIF('Keyword Results'!$A:$A,"Bulgarians",'Keyword Results'!$N:$N)</f>
        <v>0</v>
      </c>
      <c r="M21" s="3">
        <f>SUMIF('Keyword Results'!$A:$A,"Bulgarians",'Keyword Results'!$O:$O)</f>
        <v>0</v>
      </c>
      <c r="N21" s="3">
        <f>SUMIF('Keyword Results'!$A:$A,"Bulgarians",'Keyword Results'!$P:$P)</f>
        <v>0</v>
      </c>
      <c r="O21" s="3">
        <f>SUMIF('Keyword Results'!$A:$A,"Bulgarians",'Keyword Results'!$Q:$Q)</f>
        <v>0</v>
      </c>
      <c r="P21" s="3">
        <f>SUMIF('Keyword Results'!$A:$A,"Bulgarians",'Keyword Results'!$R:$R)</f>
        <v>0</v>
      </c>
      <c r="Q21" s="3">
        <f>SUMIF('Keyword Results'!$A:$A,"Bulgarians",'Keyword Results'!$S:$S)</f>
        <v>0</v>
      </c>
      <c r="R21" s="3">
        <f>SUMIF('Keyword Results'!$A:$A,"Bulgarians",'Keyword Results'!$T:$T)</f>
        <v>0</v>
      </c>
      <c r="S21" s="3">
        <f>SUMIF('Keyword Results'!$A:$A,"Bulgarians",'Keyword Results'!$U:$U)</f>
        <v>0</v>
      </c>
      <c r="T21" s="3">
        <f>SUMIF('Keyword Results'!$A:$A,"Bulgarians",'Keyword Results'!$V:$V)</f>
        <v>0</v>
      </c>
      <c r="U21" s="3">
        <f>SUMIF('Keyword Results'!$A:$A,"Bulgarians",'Keyword Results'!$W:$W)</f>
        <v>0</v>
      </c>
      <c r="V21" s="3">
        <f>SUMIF('Keyword Results'!$A:$A,"Bulgarians",'Keyword Results'!$X:$X)</f>
        <v>0</v>
      </c>
      <c r="W21" s="3">
        <f t="shared" si="0"/>
        <v>1</v>
      </c>
    </row>
    <row r="22" spans="1:23" x14ac:dyDescent="0.2">
      <c r="A22" s="2" t="s">
        <v>49</v>
      </c>
      <c r="B22" s="3">
        <f>SUMIF('Keyword Results'!$A:$A,"Burmese_people",'Keyword Results'!$D:$D)</f>
        <v>10</v>
      </c>
      <c r="C22" s="3">
        <f>SUMIF('Keyword Results'!$A:$A,"Burmese_people",'Keyword Results'!$E:$E)</f>
        <v>2</v>
      </c>
      <c r="D22" s="3">
        <f>SUMIF('Keyword Results'!$A:$A,"Burmese_people",'Keyword Results'!$F:$F)</f>
        <v>0</v>
      </c>
      <c r="E22" s="3">
        <f>SUMIF('Keyword Results'!$A:$A,"Burmese_people",'Keyword Results'!$G:$G)</f>
        <v>0</v>
      </c>
      <c r="F22" s="3">
        <f>SUMIF('Keyword Results'!$A:$A,"Burmese_people",'Keyword Results'!$H:$H)</f>
        <v>0</v>
      </c>
      <c r="G22" s="3">
        <f>SUMIF('Keyword Results'!$A:$A,"Burmese_people",'Keyword Results'!$I:$I)</f>
        <v>0</v>
      </c>
      <c r="H22" s="3">
        <f>SUMIF('Keyword Results'!$A:$A,"Burmese_people",'Keyword Results'!$J:$J)</f>
        <v>0</v>
      </c>
      <c r="I22" s="3">
        <f>SUMIF('Keyword Results'!$A:$A,"Burmese_people",'Keyword Results'!$K:$K)</f>
        <v>0</v>
      </c>
      <c r="J22" s="3">
        <f>SUMIF('Keyword Results'!$A:$A,"Burmese_people",'Keyword Results'!$L:$L)</f>
        <v>0</v>
      </c>
      <c r="K22" s="3">
        <f>SUMIF('Keyword Results'!$A:$A,"Burmese_people",'Keyword Results'!$M:$M)</f>
        <v>0</v>
      </c>
      <c r="L22" s="3">
        <f>SUMIF('Keyword Results'!$A:$A,"Burmese_people",'Keyword Results'!$N:$N)</f>
        <v>0</v>
      </c>
      <c r="M22" s="3">
        <f>SUMIF('Keyword Results'!$A:$A,"Burmese_people",'Keyword Results'!$O:$O)</f>
        <v>0</v>
      </c>
      <c r="N22" s="3">
        <f>SUMIF('Keyword Results'!$A:$A,"Burmese_people",'Keyword Results'!$P:$P)</f>
        <v>0</v>
      </c>
      <c r="O22" s="3">
        <f>SUMIF('Keyword Results'!$A:$A,"Burmese_people",'Keyword Results'!$Q:$Q)</f>
        <v>0</v>
      </c>
      <c r="P22" s="3">
        <f>SUMIF('Keyword Results'!$A:$A,"Burmese_people",'Keyword Results'!$R:$R)</f>
        <v>0</v>
      </c>
      <c r="Q22" s="3">
        <f>SUMIF('Keyword Results'!$A:$A,"Burmese_people",'Keyword Results'!$S:$S)</f>
        <v>0</v>
      </c>
      <c r="R22" s="3">
        <f>SUMIF('Keyword Results'!$A:$A,"Burmese_people",'Keyword Results'!$T:$T)</f>
        <v>0</v>
      </c>
      <c r="S22" s="3">
        <f>SUMIF('Keyword Results'!$A:$A,"Burmese_people",'Keyword Results'!$U:$U)</f>
        <v>0</v>
      </c>
      <c r="T22" s="3">
        <f>SUMIF('Keyword Results'!$A:$A,"Burmese_people",'Keyword Results'!$V:$V)</f>
        <v>0</v>
      </c>
      <c r="U22" s="3">
        <f>SUMIF('Keyword Results'!$A:$A,"Burmese_people",'Keyword Results'!$W:$W)</f>
        <v>0</v>
      </c>
      <c r="V22" s="3">
        <f>SUMIF('Keyword Results'!$A:$A,"Burmese_people",'Keyword Results'!$X:$X)</f>
        <v>0</v>
      </c>
      <c r="W22" s="3">
        <f t="shared" si="0"/>
        <v>2</v>
      </c>
    </row>
    <row r="23" spans="1:23" x14ac:dyDescent="0.2">
      <c r="A23" s="2" t="s">
        <v>50</v>
      </c>
      <c r="B23" s="3">
        <f>SUMIF('Keyword Results'!$A:$A,"Canadians",'Keyword Results'!$D:$D)</f>
        <v>5</v>
      </c>
      <c r="C23" s="3">
        <f>SUMIF('Keyword Results'!$A:$A,"Canadians",'Keyword Results'!$E:$E)</f>
        <v>0</v>
      </c>
      <c r="D23" s="3">
        <f>SUMIF('Keyword Results'!$A:$A,"Canadians",'Keyword Results'!$F:$F)</f>
        <v>0</v>
      </c>
      <c r="E23" s="3">
        <f>SUMIF('Keyword Results'!$A:$A,"Canadians",'Keyword Results'!$G:$G)</f>
        <v>0</v>
      </c>
      <c r="F23" s="3">
        <f>SUMIF('Keyword Results'!$A:$A,"Canadians",'Keyword Results'!$H:$H)</f>
        <v>0</v>
      </c>
      <c r="G23" s="3">
        <f>SUMIF('Keyword Results'!$A:$A,"Canadians",'Keyword Results'!$I:$I)</f>
        <v>0</v>
      </c>
      <c r="H23" s="3">
        <f>SUMIF('Keyword Results'!$A:$A,"Canadians",'Keyword Results'!$J:$J)</f>
        <v>0</v>
      </c>
      <c r="I23" s="3">
        <f>SUMIF('Keyword Results'!$A:$A,"Canadians",'Keyword Results'!$K:$K)</f>
        <v>0</v>
      </c>
      <c r="J23" s="3">
        <f>SUMIF('Keyword Results'!$A:$A,"Canadians",'Keyword Results'!$L:$L)</f>
        <v>0</v>
      </c>
      <c r="K23" s="3">
        <f>SUMIF('Keyword Results'!$A:$A,"Canadians",'Keyword Results'!$M:$M)</f>
        <v>0</v>
      </c>
      <c r="L23" s="3">
        <f>SUMIF('Keyword Results'!$A:$A,"Canadians",'Keyword Results'!$N:$N)</f>
        <v>0</v>
      </c>
      <c r="M23" s="3">
        <f>SUMIF('Keyword Results'!$A:$A,"Canadians",'Keyword Results'!$O:$O)</f>
        <v>0</v>
      </c>
      <c r="N23" s="3">
        <f>SUMIF('Keyword Results'!$A:$A,"Canadians",'Keyword Results'!$P:$P)</f>
        <v>0</v>
      </c>
      <c r="O23" s="3">
        <f>SUMIF('Keyword Results'!$A:$A,"Canadians",'Keyword Results'!$Q:$Q)</f>
        <v>0</v>
      </c>
      <c r="P23" s="3">
        <f>SUMIF('Keyword Results'!$A:$A,"Canadians",'Keyword Results'!$R:$R)</f>
        <v>0</v>
      </c>
      <c r="Q23" s="3">
        <f>SUMIF('Keyword Results'!$A:$A,"Canadians",'Keyword Results'!$S:$S)</f>
        <v>0</v>
      </c>
      <c r="R23" s="3">
        <f>SUMIF('Keyword Results'!$A:$A,"Canadians",'Keyword Results'!$T:$T)</f>
        <v>0</v>
      </c>
      <c r="S23" s="3">
        <f>SUMIF('Keyword Results'!$A:$A,"Canadians",'Keyword Results'!$U:$U)</f>
        <v>0</v>
      </c>
      <c r="T23" s="3">
        <f>SUMIF('Keyword Results'!$A:$A,"Canadians",'Keyword Results'!$V:$V)</f>
        <v>0</v>
      </c>
      <c r="U23" s="3">
        <f>SUMIF('Keyword Results'!$A:$A,"Canadians",'Keyword Results'!$W:$W)</f>
        <v>0</v>
      </c>
      <c r="V23" s="3">
        <f>SUMIF('Keyword Results'!$A:$A,"Canadians",'Keyword Results'!$X:$X)</f>
        <v>0</v>
      </c>
      <c r="W23" s="3">
        <f t="shared" si="0"/>
        <v>0</v>
      </c>
    </row>
    <row r="24" spans="1:23" x14ac:dyDescent="0.2">
      <c r="A24" s="2" t="s">
        <v>51</v>
      </c>
      <c r="B24" s="3">
        <f>SUMIF('Keyword Results'!$A:$A,"Cape_Verdeans",'Keyword Results'!$D:$D)</f>
        <v>7</v>
      </c>
      <c r="C24" s="3">
        <f>SUMIF('Keyword Results'!$A:$A,"Cape_Verdeans",'Keyword Results'!$E:$E)</f>
        <v>0</v>
      </c>
      <c r="D24" s="3">
        <f>SUMIF('Keyword Results'!$A:$A,"Cape_Verdeans",'Keyword Results'!$F:$F)</f>
        <v>0</v>
      </c>
      <c r="E24" s="3">
        <f>SUMIF('Keyword Results'!$A:$A,"Cape_Verdeans",'Keyword Results'!$G:$G)</f>
        <v>0</v>
      </c>
      <c r="F24" s="3">
        <f>SUMIF('Keyword Results'!$A:$A,"Cape_Verdeans",'Keyword Results'!$H:$H)</f>
        <v>0</v>
      </c>
      <c r="G24" s="3">
        <f>SUMIF('Keyword Results'!$A:$A,"Cape_Verdeans",'Keyword Results'!$I:$I)</f>
        <v>0</v>
      </c>
      <c r="H24" s="3">
        <f>SUMIF('Keyword Results'!$A:$A,"Cape_Verdeans",'Keyword Results'!$J:$J)</f>
        <v>0</v>
      </c>
      <c r="I24" s="3">
        <f>SUMIF('Keyword Results'!$A:$A,"Cape_Verdeans",'Keyword Results'!$K:$K)</f>
        <v>0</v>
      </c>
      <c r="J24" s="3">
        <f>SUMIF('Keyword Results'!$A:$A,"Cape_Verdeans",'Keyword Results'!$L:$L)</f>
        <v>0</v>
      </c>
      <c r="K24" s="3">
        <f>SUMIF('Keyword Results'!$A:$A,"Cape_Verdeans",'Keyword Results'!$M:$M)</f>
        <v>0</v>
      </c>
      <c r="L24" s="3">
        <f>SUMIF('Keyword Results'!$A:$A,"Cape_Verdeans",'Keyword Results'!$N:$N)</f>
        <v>0</v>
      </c>
      <c r="M24" s="3">
        <f>SUMIF('Keyword Results'!$A:$A,"Cape_Verdeans",'Keyword Results'!$O:$O)</f>
        <v>0</v>
      </c>
      <c r="N24" s="3">
        <f>SUMIF('Keyword Results'!$A:$A,"Cape_Verdeans",'Keyword Results'!$P:$P)</f>
        <v>0</v>
      </c>
      <c r="O24" s="3">
        <f>SUMIF('Keyword Results'!$A:$A,"Cape_Verdeans",'Keyword Results'!$Q:$Q)</f>
        <v>0</v>
      </c>
      <c r="P24" s="3">
        <f>SUMIF('Keyword Results'!$A:$A,"Cape_Verdeans",'Keyword Results'!$R:$R)</f>
        <v>0</v>
      </c>
      <c r="Q24" s="3">
        <f>SUMIF('Keyword Results'!$A:$A,"Cape_Verdeans",'Keyword Results'!$S:$S)</f>
        <v>0</v>
      </c>
      <c r="R24" s="3">
        <f>SUMIF('Keyword Results'!$A:$A,"Cape_Verdeans",'Keyword Results'!$T:$T)</f>
        <v>0</v>
      </c>
      <c r="S24" s="3">
        <f>SUMIF('Keyword Results'!$A:$A,"Cape_Verdeans",'Keyword Results'!$U:$U)</f>
        <v>0</v>
      </c>
      <c r="T24" s="3">
        <f>SUMIF('Keyword Results'!$A:$A,"Cape_Verdeans",'Keyword Results'!$V:$V)</f>
        <v>0</v>
      </c>
      <c r="U24" s="3">
        <f>SUMIF('Keyword Results'!$A:$A,"Cape_Verdeans",'Keyword Results'!$W:$W)</f>
        <v>0</v>
      </c>
      <c r="V24" s="3">
        <f>SUMIF('Keyword Results'!$A:$A,"Cape_Verdeans",'Keyword Results'!$X:$X)</f>
        <v>0</v>
      </c>
      <c r="W24" s="3">
        <f t="shared" si="0"/>
        <v>0</v>
      </c>
    </row>
    <row r="25" spans="1:23" x14ac:dyDescent="0.2">
      <c r="A25" s="2" t="s">
        <v>52</v>
      </c>
      <c r="B25" s="3">
        <f>SUMIF('Keyword Results'!$A:$A,"Chileans",'Keyword Results'!$D:$D)</f>
        <v>9</v>
      </c>
      <c r="C25" s="3">
        <f>SUMIF('Keyword Results'!$A:$A,"Chileans",'Keyword Results'!$E:$E)</f>
        <v>0</v>
      </c>
      <c r="D25" s="3">
        <f>SUMIF('Keyword Results'!$A:$A,"Chileans",'Keyword Results'!$F:$F)</f>
        <v>0</v>
      </c>
      <c r="E25" s="3">
        <f>SUMIF('Keyword Results'!$A:$A,"Chileans",'Keyword Results'!$G:$G)</f>
        <v>0</v>
      </c>
      <c r="F25" s="3">
        <f>SUMIF('Keyword Results'!$A:$A,"Chileans",'Keyword Results'!$H:$H)</f>
        <v>0</v>
      </c>
      <c r="G25" s="3">
        <f>SUMIF('Keyword Results'!$A:$A,"Chileans",'Keyword Results'!$I:$I)</f>
        <v>0</v>
      </c>
      <c r="H25" s="3">
        <f>SUMIF('Keyword Results'!$A:$A,"Chileans",'Keyword Results'!$J:$J)</f>
        <v>0</v>
      </c>
      <c r="I25" s="3">
        <f>SUMIF('Keyword Results'!$A:$A,"Chileans",'Keyword Results'!$K:$K)</f>
        <v>0</v>
      </c>
      <c r="J25" s="3">
        <f>SUMIF('Keyword Results'!$A:$A,"Chileans",'Keyword Results'!$L:$L)</f>
        <v>0</v>
      </c>
      <c r="K25" s="3">
        <f>SUMIF('Keyword Results'!$A:$A,"Chileans",'Keyword Results'!$M:$M)</f>
        <v>0</v>
      </c>
      <c r="L25" s="3">
        <f>SUMIF('Keyword Results'!$A:$A,"Chileans",'Keyword Results'!$N:$N)</f>
        <v>0</v>
      </c>
      <c r="M25" s="3">
        <f>SUMIF('Keyword Results'!$A:$A,"Chileans",'Keyword Results'!$O:$O)</f>
        <v>0</v>
      </c>
      <c r="N25" s="3">
        <f>SUMIF('Keyword Results'!$A:$A,"Chileans",'Keyword Results'!$P:$P)</f>
        <v>0</v>
      </c>
      <c r="O25" s="3">
        <f>SUMIF('Keyword Results'!$A:$A,"Chileans",'Keyword Results'!$Q:$Q)</f>
        <v>0</v>
      </c>
      <c r="P25" s="3">
        <f>SUMIF('Keyword Results'!$A:$A,"Chileans",'Keyword Results'!$R:$R)</f>
        <v>0</v>
      </c>
      <c r="Q25" s="3">
        <f>SUMIF('Keyword Results'!$A:$A,"Chileans",'Keyword Results'!$S:$S)</f>
        <v>0</v>
      </c>
      <c r="R25" s="3">
        <f>SUMIF('Keyword Results'!$A:$A,"Chileans",'Keyword Results'!$T:$T)</f>
        <v>0</v>
      </c>
      <c r="S25" s="3">
        <f>SUMIF('Keyword Results'!$A:$A,"Chileans",'Keyword Results'!$U:$U)</f>
        <v>0</v>
      </c>
      <c r="T25" s="3">
        <f>SUMIF('Keyword Results'!$A:$A,"Chileans",'Keyword Results'!$V:$V)</f>
        <v>0</v>
      </c>
      <c r="U25" s="3">
        <f>SUMIF('Keyword Results'!$A:$A,"Chileans",'Keyword Results'!$W:$W)</f>
        <v>0</v>
      </c>
      <c r="V25" s="3">
        <f>SUMIF('Keyword Results'!$A:$A,"Chileans",'Keyword Results'!$X:$X)</f>
        <v>0</v>
      </c>
      <c r="W25" s="3">
        <f t="shared" si="0"/>
        <v>0</v>
      </c>
    </row>
    <row r="26" spans="1:23" x14ac:dyDescent="0.2">
      <c r="A26" s="2" t="s">
        <v>53</v>
      </c>
      <c r="B26" s="3">
        <f>SUMIF('Keyword Results'!$A:$A,"Chinese_people",'Keyword Results'!$D:$D)</f>
        <v>5</v>
      </c>
      <c r="C26" s="3">
        <f>SUMIF('Keyword Results'!$A:$A,"Chinese_people",'Keyword Results'!$E:$E)</f>
        <v>0</v>
      </c>
      <c r="D26" s="3">
        <f>SUMIF('Keyword Results'!$A:$A,"Chinese_people",'Keyword Results'!$F:$F)</f>
        <v>0</v>
      </c>
      <c r="E26" s="3">
        <f>SUMIF('Keyword Results'!$A:$A,"Chinese_people",'Keyword Results'!$G:$G)</f>
        <v>0</v>
      </c>
      <c r="F26" s="3">
        <f>SUMIF('Keyword Results'!$A:$A,"Chinese_people",'Keyword Results'!$H:$H)</f>
        <v>0</v>
      </c>
      <c r="G26" s="3">
        <f>SUMIF('Keyword Results'!$A:$A,"Chinese_people",'Keyword Results'!$I:$I)</f>
        <v>0</v>
      </c>
      <c r="H26" s="3">
        <f>SUMIF('Keyword Results'!$A:$A,"Chinese_people",'Keyword Results'!$J:$J)</f>
        <v>0</v>
      </c>
      <c r="I26" s="3">
        <f>SUMIF('Keyword Results'!$A:$A,"Chinese_people",'Keyword Results'!$K:$K)</f>
        <v>0</v>
      </c>
      <c r="J26" s="3">
        <f>SUMIF('Keyword Results'!$A:$A,"Chinese_people",'Keyword Results'!$L:$L)</f>
        <v>0</v>
      </c>
      <c r="K26" s="3">
        <f>SUMIF('Keyword Results'!$A:$A,"Chinese_people",'Keyword Results'!$M:$M)</f>
        <v>0</v>
      </c>
      <c r="L26" s="3">
        <f>SUMIF('Keyword Results'!$A:$A,"Chinese_people",'Keyword Results'!$N:$N)</f>
        <v>0</v>
      </c>
      <c r="M26" s="3">
        <f>SUMIF('Keyword Results'!$A:$A,"Chinese_people",'Keyword Results'!$O:$O)</f>
        <v>0</v>
      </c>
      <c r="N26" s="3">
        <f>SUMIF('Keyword Results'!$A:$A,"Chinese_people",'Keyword Results'!$P:$P)</f>
        <v>0</v>
      </c>
      <c r="O26" s="3">
        <f>SUMIF('Keyword Results'!$A:$A,"Chinese_people",'Keyword Results'!$Q:$Q)</f>
        <v>0</v>
      </c>
      <c r="P26" s="3">
        <f>SUMIF('Keyword Results'!$A:$A,"Chinese_people",'Keyword Results'!$R:$R)</f>
        <v>0</v>
      </c>
      <c r="Q26" s="3">
        <f>SUMIF('Keyword Results'!$A:$A,"Chinese_people",'Keyword Results'!$S:$S)</f>
        <v>0</v>
      </c>
      <c r="R26" s="3">
        <f>SUMIF('Keyword Results'!$A:$A,"Chinese_people",'Keyword Results'!$T:$T)</f>
        <v>0</v>
      </c>
      <c r="S26" s="3">
        <f>SUMIF('Keyword Results'!$A:$A,"Chinese_people",'Keyword Results'!$U:$U)</f>
        <v>0</v>
      </c>
      <c r="T26" s="3">
        <f>SUMIF('Keyword Results'!$A:$A,"Chinese_people",'Keyword Results'!$V:$V)</f>
        <v>0</v>
      </c>
      <c r="U26" s="3">
        <f>SUMIF('Keyword Results'!$A:$A,"Chinese_people",'Keyword Results'!$W:$W)</f>
        <v>0</v>
      </c>
      <c r="V26" s="3">
        <f>SUMIF('Keyword Results'!$A:$A,"Chinese_people",'Keyword Results'!$X:$X)</f>
        <v>0</v>
      </c>
      <c r="W26" s="3">
        <f t="shared" si="0"/>
        <v>0</v>
      </c>
    </row>
    <row r="27" spans="1:23" x14ac:dyDescent="0.2">
      <c r="A27" s="2" t="s">
        <v>54</v>
      </c>
      <c r="B27" s="3">
        <f>SUMIF('Keyword Results'!$A:$A,"Colombians",'Keyword Results'!$D:$D)</f>
        <v>10</v>
      </c>
      <c r="C27" s="3">
        <f>SUMIF('Keyword Results'!$A:$A,"Colombians",'Keyword Results'!$E:$E)</f>
        <v>0</v>
      </c>
      <c r="D27" s="3">
        <f>SUMIF('Keyword Results'!$A:$A,"Colombians",'Keyword Results'!$F:$F)</f>
        <v>0</v>
      </c>
      <c r="E27" s="3">
        <f>SUMIF('Keyword Results'!$A:$A,"Colombians",'Keyword Results'!$G:$G)</f>
        <v>3</v>
      </c>
      <c r="F27" s="3">
        <f>SUMIF('Keyword Results'!$A:$A,"Colombians",'Keyword Results'!$H:$H)</f>
        <v>0</v>
      </c>
      <c r="G27" s="3">
        <f>SUMIF('Keyword Results'!$A:$A,"Colombians",'Keyword Results'!$I:$I)</f>
        <v>0</v>
      </c>
      <c r="H27" s="3">
        <f>SUMIF('Keyword Results'!$A:$A,"Colombians",'Keyword Results'!$J:$J)</f>
        <v>0</v>
      </c>
      <c r="I27" s="3">
        <f>SUMIF('Keyword Results'!$A:$A,"Colombians",'Keyword Results'!$K:$K)</f>
        <v>0</v>
      </c>
      <c r="J27" s="3">
        <f>SUMIF('Keyword Results'!$A:$A,"Colombians",'Keyword Results'!$L:$L)</f>
        <v>0</v>
      </c>
      <c r="K27" s="3">
        <f>SUMIF('Keyword Results'!$A:$A,"Colombians",'Keyword Results'!$M:$M)</f>
        <v>0</v>
      </c>
      <c r="L27" s="3">
        <f>SUMIF('Keyword Results'!$A:$A,"Colombians",'Keyword Results'!$N:$N)</f>
        <v>0</v>
      </c>
      <c r="M27" s="3">
        <f>SUMIF('Keyword Results'!$A:$A,"Colombians",'Keyword Results'!$O:$O)</f>
        <v>0</v>
      </c>
      <c r="N27" s="3">
        <f>SUMIF('Keyword Results'!$A:$A,"Colombians",'Keyword Results'!$P:$P)</f>
        <v>0</v>
      </c>
      <c r="O27" s="3">
        <f>SUMIF('Keyword Results'!$A:$A,"Colombians",'Keyword Results'!$Q:$Q)</f>
        <v>0</v>
      </c>
      <c r="P27" s="3">
        <f>SUMIF('Keyword Results'!$A:$A,"Colombians",'Keyword Results'!$R:$R)</f>
        <v>0</v>
      </c>
      <c r="Q27" s="3">
        <f>SUMIF('Keyword Results'!$A:$A,"Colombians",'Keyword Results'!$S:$S)</f>
        <v>0</v>
      </c>
      <c r="R27" s="3">
        <f>SUMIF('Keyword Results'!$A:$A,"Colombians",'Keyword Results'!$T:$T)</f>
        <v>0</v>
      </c>
      <c r="S27" s="3">
        <f>SUMIF('Keyword Results'!$A:$A,"Colombians",'Keyword Results'!$U:$U)</f>
        <v>0</v>
      </c>
      <c r="T27" s="3">
        <f>SUMIF('Keyword Results'!$A:$A,"Colombians",'Keyword Results'!$V:$V)</f>
        <v>0</v>
      </c>
      <c r="U27" s="3">
        <f>SUMIF('Keyword Results'!$A:$A,"Colombians",'Keyword Results'!$W:$W)</f>
        <v>0</v>
      </c>
      <c r="V27" s="3">
        <f>SUMIF('Keyword Results'!$A:$A,"Colombians",'Keyword Results'!$X:$X)</f>
        <v>0</v>
      </c>
      <c r="W27" s="3">
        <f t="shared" si="0"/>
        <v>3</v>
      </c>
    </row>
    <row r="28" spans="1:23" x14ac:dyDescent="0.2">
      <c r="A28" s="2" t="s">
        <v>55</v>
      </c>
      <c r="B28" s="3">
        <f>SUMIF('Keyword Results'!$A:$A,"Cook_Islanders",'Keyword Results'!$D:$D)</f>
        <v>9</v>
      </c>
      <c r="C28" s="3">
        <f>SUMIF('Keyword Results'!$A:$A,"Cook_Islanders",'Keyword Results'!$E:$E)</f>
        <v>0</v>
      </c>
      <c r="D28" s="3">
        <f>SUMIF('Keyword Results'!$A:$A,"Cook_Islanders",'Keyword Results'!$F:$F)</f>
        <v>0</v>
      </c>
      <c r="E28" s="3">
        <f>SUMIF('Keyword Results'!$A:$A,"Cook_Islanders",'Keyword Results'!$G:$G)</f>
        <v>0</v>
      </c>
      <c r="F28" s="3">
        <f>SUMIF('Keyword Results'!$A:$A,"Cook_Islanders",'Keyword Results'!$H:$H)</f>
        <v>0</v>
      </c>
      <c r="G28" s="3">
        <f>SUMIF('Keyword Results'!$A:$A,"Cook_Islanders",'Keyword Results'!$I:$I)</f>
        <v>0</v>
      </c>
      <c r="H28" s="3">
        <f>SUMIF('Keyword Results'!$A:$A,"Cook_Islanders",'Keyword Results'!$J:$J)</f>
        <v>0</v>
      </c>
      <c r="I28" s="3">
        <f>SUMIF('Keyword Results'!$A:$A,"Cook_Islanders",'Keyword Results'!$K:$K)</f>
        <v>0</v>
      </c>
      <c r="J28" s="3">
        <f>SUMIF('Keyword Results'!$A:$A,"Cook_Islanders",'Keyword Results'!$L:$L)</f>
        <v>0</v>
      </c>
      <c r="K28" s="3">
        <f>SUMIF('Keyword Results'!$A:$A,"Cook_Islanders",'Keyword Results'!$M:$M)</f>
        <v>0</v>
      </c>
      <c r="L28" s="3">
        <f>SUMIF('Keyword Results'!$A:$A,"Cook_Islanders",'Keyword Results'!$N:$N)</f>
        <v>0</v>
      </c>
      <c r="M28" s="3">
        <f>SUMIF('Keyword Results'!$A:$A,"Cook_Islanders",'Keyword Results'!$O:$O)</f>
        <v>0</v>
      </c>
      <c r="N28" s="3">
        <f>SUMIF('Keyword Results'!$A:$A,"Cook_Islanders",'Keyword Results'!$P:$P)</f>
        <v>0</v>
      </c>
      <c r="O28" s="3">
        <f>SUMIF('Keyword Results'!$A:$A,"Cook_Islanders",'Keyword Results'!$Q:$Q)</f>
        <v>0</v>
      </c>
      <c r="P28" s="3">
        <f>SUMIF('Keyword Results'!$A:$A,"Cook_Islanders",'Keyword Results'!$R:$R)</f>
        <v>0</v>
      </c>
      <c r="Q28" s="3">
        <f>SUMIF('Keyword Results'!$A:$A,"Cook_Islanders",'Keyword Results'!$S:$S)</f>
        <v>0</v>
      </c>
      <c r="R28" s="3">
        <f>SUMIF('Keyword Results'!$A:$A,"Cook_Islanders",'Keyword Results'!$T:$T)</f>
        <v>0</v>
      </c>
      <c r="S28" s="3">
        <f>SUMIF('Keyword Results'!$A:$A,"Cook_Islanders",'Keyword Results'!$U:$U)</f>
        <v>0</v>
      </c>
      <c r="T28" s="3">
        <f>SUMIF('Keyword Results'!$A:$A,"Cook_Islanders",'Keyword Results'!$V:$V)</f>
        <v>0</v>
      </c>
      <c r="U28" s="3">
        <f>SUMIF('Keyword Results'!$A:$A,"Cook_Islanders",'Keyword Results'!$W:$W)</f>
        <v>0</v>
      </c>
      <c r="V28" s="3">
        <f>SUMIF('Keyword Results'!$A:$A,"Cook_Islanders",'Keyword Results'!$X:$X)</f>
        <v>0</v>
      </c>
      <c r="W28" s="3">
        <f t="shared" si="0"/>
        <v>0</v>
      </c>
    </row>
    <row r="29" spans="1:23" x14ac:dyDescent="0.2">
      <c r="A29" s="2" t="s">
        <v>56</v>
      </c>
      <c r="B29" s="3">
        <f>SUMIF('Keyword Results'!$A:$A,"Costa_Ricans",'Keyword Results'!$D:$D)</f>
        <v>8</v>
      </c>
      <c r="C29" s="3">
        <f>SUMIF('Keyword Results'!$A:$A,"Costa_Ricans",'Keyword Results'!$E:$E)</f>
        <v>1</v>
      </c>
      <c r="D29" s="3">
        <f>SUMIF('Keyword Results'!$A:$A,"Costa_Ricans",'Keyword Results'!$F:$F)</f>
        <v>0</v>
      </c>
      <c r="E29" s="3">
        <f>SUMIF('Keyword Results'!$A:$A,"Costa_Ricans",'Keyword Results'!$G:$G)</f>
        <v>0</v>
      </c>
      <c r="F29" s="3">
        <f>SUMIF('Keyword Results'!$A:$A,"Costa_Ricans",'Keyword Results'!$H:$H)</f>
        <v>0</v>
      </c>
      <c r="G29" s="3">
        <f>SUMIF('Keyword Results'!$A:$A,"Costa_Ricans",'Keyword Results'!$I:$I)</f>
        <v>1</v>
      </c>
      <c r="H29" s="3">
        <f>SUMIF('Keyword Results'!$A:$A,"Costa_Ricans",'Keyword Results'!$J:$J)</f>
        <v>0</v>
      </c>
      <c r="I29" s="3">
        <f>SUMIF('Keyword Results'!$A:$A,"Costa_Ricans",'Keyword Results'!$K:$K)</f>
        <v>0</v>
      </c>
      <c r="J29" s="3">
        <f>SUMIF('Keyword Results'!$A:$A,"Costa_Ricans",'Keyword Results'!$L:$L)</f>
        <v>0</v>
      </c>
      <c r="K29" s="3">
        <f>SUMIF('Keyword Results'!$A:$A,"Costa_Ricans",'Keyword Results'!$M:$M)</f>
        <v>0</v>
      </c>
      <c r="L29" s="3">
        <f>SUMIF('Keyword Results'!$A:$A,"Costa_Ricans",'Keyword Results'!$N:$N)</f>
        <v>0</v>
      </c>
      <c r="M29" s="3">
        <f>SUMIF('Keyword Results'!$A:$A,"Costa_Ricans",'Keyword Results'!$O:$O)</f>
        <v>0</v>
      </c>
      <c r="N29" s="3">
        <f>SUMIF('Keyword Results'!$A:$A,"Costa_Ricans",'Keyword Results'!$P:$P)</f>
        <v>0</v>
      </c>
      <c r="O29" s="3">
        <f>SUMIF('Keyword Results'!$A:$A,"Costa_Ricans",'Keyword Results'!$Q:$Q)</f>
        <v>0</v>
      </c>
      <c r="P29" s="3">
        <f>SUMIF('Keyword Results'!$A:$A,"Costa_Ricans",'Keyword Results'!$R:$R)</f>
        <v>0</v>
      </c>
      <c r="Q29" s="3">
        <f>SUMIF('Keyword Results'!$A:$A,"Costa_Ricans",'Keyword Results'!$S:$S)</f>
        <v>0</v>
      </c>
      <c r="R29" s="3">
        <f>SUMIF('Keyword Results'!$A:$A,"Costa_Ricans",'Keyword Results'!$T:$T)</f>
        <v>0</v>
      </c>
      <c r="S29" s="3">
        <f>SUMIF('Keyword Results'!$A:$A,"Costa_Ricans",'Keyword Results'!$U:$U)</f>
        <v>0</v>
      </c>
      <c r="T29" s="3">
        <f>SUMIF('Keyword Results'!$A:$A,"Costa_Ricans",'Keyword Results'!$V:$V)</f>
        <v>0</v>
      </c>
      <c r="U29" s="3">
        <f>SUMIF('Keyword Results'!$A:$A,"Costa_Ricans",'Keyword Results'!$W:$W)</f>
        <v>0</v>
      </c>
      <c r="V29" s="3">
        <f>SUMIF('Keyword Results'!$A:$A,"Costa_Ricans",'Keyword Results'!$X:$X)</f>
        <v>0</v>
      </c>
      <c r="W29" s="3">
        <f t="shared" si="0"/>
        <v>2</v>
      </c>
    </row>
    <row r="30" spans="1:23" x14ac:dyDescent="0.2">
      <c r="A30" s="2" t="s">
        <v>57</v>
      </c>
      <c r="B30" s="3">
        <f>SUMIF('Keyword Results'!$A:$A,"Croats",'Keyword Results'!$D:$D)</f>
        <v>10</v>
      </c>
      <c r="C30" s="3">
        <f>SUMIF('Keyword Results'!$A:$A,"Croats",'Keyword Results'!$E:$E)</f>
        <v>2</v>
      </c>
      <c r="D30" s="3">
        <f>SUMIF('Keyword Results'!$A:$A,"Croats",'Keyword Results'!$F:$F)</f>
        <v>0</v>
      </c>
      <c r="E30" s="3">
        <f>SUMIF('Keyword Results'!$A:$A,"Croats",'Keyword Results'!$G:$G)</f>
        <v>1</v>
      </c>
      <c r="F30" s="3">
        <f>SUMIF('Keyword Results'!$A:$A,"Croats",'Keyword Results'!$H:$H)</f>
        <v>0</v>
      </c>
      <c r="G30" s="3">
        <f>SUMIF('Keyword Results'!$A:$A,"Croats",'Keyword Results'!$I:$I)</f>
        <v>0</v>
      </c>
      <c r="H30" s="3">
        <f>SUMIF('Keyword Results'!$A:$A,"Croats",'Keyword Results'!$J:$J)</f>
        <v>0</v>
      </c>
      <c r="I30" s="3">
        <f>SUMIF('Keyword Results'!$A:$A,"Croats",'Keyword Results'!$K:$K)</f>
        <v>0</v>
      </c>
      <c r="J30" s="3">
        <f>SUMIF('Keyword Results'!$A:$A,"Croats",'Keyword Results'!$L:$L)</f>
        <v>0</v>
      </c>
      <c r="K30" s="3">
        <f>SUMIF('Keyword Results'!$A:$A,"Croats",'Keyword Results'!$M:$M)</f>
        <v>0</v>
      </c>
      <c r="L30" s="3">
        <f>SUMIF('Keyword Results'!$A:$A,"Croats",'Keyword Results'!$N:$N)</f>
        <v>0</v>
      </c>
      <c r="M30" s="3">
        <f>SUMIF('Keyword Results'!$A:$A,"Croats",'Keyword Results'!$O:$O)</f>
        <v>0</v>
      </c>
      <c r="N30" s="3">
        <f>SUMIF('Keyword Results'!$A:$A,"Croats",'Keyword Results'!$P:$P)</f>
        <v>0</v>
      </c>
      <c r="O30" s="3">
        <f>SUMIF('Keyword Results'!$A:$A,"Croats",'Keyword Results'!$Q:$Q)</f>
        <v>0</v>
      </c>
      <c r="P30" s="3">
        <f>SUMIF('Keyword Results'!$A:$A,"Croats",'Keyword Results'!$R:$R)</f>
        <v>0</v>
      </c>
      <c r="Q30" s="3">
        <f>SUMIF('Keyword Results'!$A:$A,"Croats",'Keyword Results'!$S:$S)</f>
        <v>0</v>
      </c>
      <c r="R30" s="3">
        <f>SUMIF('Keyword Results'!$A:$A,"Croats",'Keyword Results'!$T:$T)</f>
        <v>0</v>
      </c>
      <c r="S30" s="3">
        <f>SUMIF('Keyword Results'!$A:$A,"Croats",'Keyword Results'!$U:$U)</f>
        <v>0</v>
      </c>
      <c r="T30" s="3">
        <f>SUMIF('Keyword Results'!$A:$A,"Croats",'Keyword Results'!$V:$V)</f>
        <v>0</v>
      </c>
      <c r="U30" s="3">
        <f>SUMIF('Keyword Results'!$A:$A,"Croats",'Keyword Results'!$W:$W)</f>
        <v>0</v>
      </c>
      <c r="V30" s="3">
        <f>SUMIF('Keyword Results'!$A:$A,"Croats",'Keyword Results'!$X:$X)</f>
        <v>0</v>
      </c>
      <c r="W30" s="3">
        <f t="shared" si="0"/>
        <v>3</v>
      </c>
    </row>
    <row r="31" spans="1:23" x14ac:dyDescent="0.2">
      <c r="A31" s="2" t="s">
        <v>58</v>
      </c>
      <c r="B31" s="3">
        <f>SUMIF('Keyword Results'!$A:$A,"Cubans",'Keyword Results'!$D:$D)</f>
        <v>4</v>
      </c>
      <c r="C31" s="3">
        <f>SUMIF('Keyword Results'!$A:$A,"Cubans",'Keyword Results'!$E:$E)</f>
        <v>0</v>
      </c>
      <c r="D31" s="3">
        <f>SUMIF('Keyword Results'!$A:$A,"Cubans",'Keyword Results'!$F:$F)</f>
        <v>0</v>
      </c>
      <c r="E31" s="3">
        <f>SUMIF('Keyword Results'!$A:$A,"Cubans",'Keyword Results'!$G:$G)</f>
        <v>0</v>
      </c>
      <c r="F31" s="3">
        <f>SUMIF('Keyword Results'!$A:$A,"Cubans",'Keyword Results'!$H:$H)</f>
        <v>0</v>
      </c>
      <c r="G31" s="3">
        <f>SUMIF('Keyword Results'!$A:$A,"Cubans",'Keyword Results'!$I:$I)</f>
        <v>0</v>
      </c>
      <c r="H31" s="3">
        <f>SUMIF('Keyword Results'!$A:$A,"Cubans",'Keyword Results'!$J:$J)</f>
        <v>0</v>
      </c>
      <c r="I31" s="3">
        <f>SUMIF('Keyword Results'!$A:$A,"Cubans",'Keyword Results'!$K:$K)</f>
        <v>0</v>
      </c>
      <c r="J31" s="3">
        <f>SUMIF('Keyword Results'!$A:$A,"Cubans",'Keyword Results'!$L:$L)</f>
        <v>0</v>
      </c>
      <c r="K31" s="3">
        <f>SUMIF('Keyword Results'!$A:$A,"Cubans",'Keyword Results'!$M:$M)</f>
        <v>0</v>
      </c>
      <c r="L31" s="3">
        <f>SUMIF('Keyword Results'!$A:$A,"Cubans",'Keyword Results'!$N:$N)</f>
        <v>0</v>
      </c>
      <c r="M31" s="3">
        <f>SUMIF('Keyword Results'!$A:$A,"Cubans",'Keyword Results'!$O:$O)</f>
        <v>0</v>
      </c>
      <c r="N31" s="3">
        <f>SUMIF('Keyword Results'!$A:$A,"Cubans",'Keyword Results'!$P:$P)</f>
        <v>0</v>
      </c>
      <c r="O31" s="3">
        <f>SUMIF('Keyword Results'!$A:$A,"Cubans",'Keyword Results'!$Q:$Q)</f>
        <v>0</v>
      </c>
      <c r="P31" s="3">
        <f>SUMIF('Keyword Results'!$A:$A,"Cubans",'Keyword Results'!$R:$R)</f>
        <v>0</v>
      </c>
      <c r="Q31" s="3">
        <f>SUMIF('Keyword Results'!$A:$A,"Cubans",'Keyword Results'!$S:$S)</f>
        <v>0</v>
      </c>
      <c r="R31" s="3">
        <f>SUMIF('Keyword Results'!$A:$A,"Cubans",'Keyword Results'!$T:$T)</f>
        <v>0</v>
      </c>
      <c r="S31" s="3">
        <f>SUMIF('Keyword Results'!$A:$A,"Cubans",'Keyword Results'!$U:$U)</f>
        <v>0</v>
      </c>
      <c r="T31" s="3">
        <f>SUMIF('Keyword Results'!$A:$A,"Cubans",'Keyword Results'!$V:$V)</f>
        <v>0</v>
      </c>
      <c r="U31" s="3">
        <f>SUMIF('Keyword Results'!$A:$A,"Cubans",'Keyword Results'!$W:$W)</f>
        <v>0</v>
      </c>
      <c r="V31" s="3">
        <f>SUMIF('Keyword Results'!$A:$A,"Cubans",'Keyword Results'!$X:$X)</f>
        <v>0</v>
      </c>
      <c r="W31" s="3">
        <f t="shared" si="0"/>
        <v>0</v>
      </c>
    </row>
    <row r="32" spans="1:23" x14ac:dyDescent="0.2">
      <c r="A32" s="2" t="s">
        <v>59</v>
      </c>
      <c r="B32" s="3">
        <f>SUMIF('Keyword Results'!$A:$A,"Czechs",'Keyword Results'!$D:$D)</f>
        <v>8</v>
      </c>
      <c r="C32" s="3">
        <f>SUMIF('Keyword Results'!$A:$A,"Czechs",'Keyword Results'!$E:$E)</f>
        <v>1</v>
      </c>
      <c r="D32" s="3">
        <f>SUMIF('Keyword Results'!$A:$A,"Czechs",'Keyword Results'!$F:$F)</f>
        <v>0</v>
      </c>
      <c r="E32" s="3">
        <f>SUMIF('Keyword Results'!$A:$A,"Czechs",'Keyword Results'!$G:$G)</f>
        <v>0</v>
      </c>
      <c r="F32" s="3">
        <f>SUMIF('Keyword Results'!$A:$A,"Czechs",'Keyword Results'!$H:$H)</f>
        <v>0</v>
      </c>
      <c r="G32" s="3">
        <f>SUMIF('Keyword Results'!$A:$A,"Czechs",'Keyword Results'!$I:$I)</f>
        <v>0</v>
      </c>
      <c r="H32" s="3">
        <f>SUMIF('Keyword Results'!$A:$A,"Czechs",'Keyword Results'!$J:$J)</f>
        <v>0</v>
      </c>
      <c r="I32" s="3">
        <f>SUMIF('Keyword Results'!$A:$A,"Czechs",'Keyword Results'!$K:$K)</f>
        <v>0</v>
      </c>
      <c r="J32" s="3">
        <f>SUMIF('Keyword Results'!$A:$A,"Czechs",'Keyword Results'!$L:$L)</f>
        <v>0</v>
      </c>
      <c r="K32" s="3">
        <f>SUMIF('Keyword Results'!$A:$A,"Czechs",'Keyword Results'!$M:$M)</f>
        <v>0</v>
      </c>
      <c r="L32" s="3">
        <f>SUMIF('Keyword Results'!$A:$A,"Czechs",'Keyword Results'!$N:$N)</f>
        <v>0</v>
      </c>
      <c r="M32" s="3">
        <f>SUMIF('Keyword Results'!$A:$A,"Czechs",'Keyword Results'!$O:$O)</f>
        <v>0</v>
      </c>
      <c r="N32" s="3">
        <f>SUMIF('Keyword Results'!$A:$A,"Czechs",'Keyword Results'!$P:$P)</f>
        <v>0</v>
      </c>
      <c r="O32" s="3">
        <f>SUMIF('Keyword Results'!$A:$A,"Czechs",'Keyword Results'!$Q:$Q)</f>
        <v>0</v>
      </c>
      <c r="P32" s="3">
        <f>SUMIF('Keyword Results'!$A:$A,"Czechs",'Keyword Results'!$R:$R)</f>
        <v>0</v>
      </c>
      <c r="Q32" s="3">
        <f>SUMIF('Keyword Results'!$A:$A,"Czechs",'Keyword Results'!$S:$S)</f>
        <v>0</v>
      </c>
      <c r="R32" s="3">
        <f>SUMIF('Keyword Results'!$A:$A,"Czechs",'Keyword Results'!$T:$T)</f>
        <v>0</v>
      </c>
      <c r="S32" s="3">
        <f>SUMIF('Keyword Results'!$A:$A,"Czechs",'Keyword Results'!$U:$U)</f>
        <v>0</v>
      </c>
      <c r="T32" s="3">
        <f>SUMIF('Keyword Results'!$A:$A,"Czechs",'Keyword Results'!$V:$V)</f>
        <v>0</v>
      </c>
      <c r="U32" s="3">
        <f>SUMIF('Keyword Results'!$A:$A,"Czechs",'Keyword Results'!$W:$W)</f>
        <v>0</v>
      </c>
      <c r="V32" s="3">
        <f>SUMIF('Keyword Results'!$A:$A,"Czechs",'Keyword Results'!$X:$X)</f>
        <v>0</v>
      </c>
      <c r="W32" s="3">
        <f t="shared" si="0"/>
        <v>1</v>
      </c>
    </row>
    <row r="33" spans="1:23" x14ac:dyDescent="0.2">
      <c r="A33" s="2" t="s">
        <v>60</v>
      </c>
      <c r="B33" s="3">
        <f>SUMIF('Keyword Results'!$A:$A,"Danes",'Keyword Results'!$D:$D)</f>
        <v>7</v>
      </c>
      <c r="C33" s="3">
        <f>SUMIF('Keyword Results'!$A:$A,"Danes",'Keyword Results'!$E:$E)</f>
        <v>0</v>
      </c>
      <c r="D33" s="3">
        <f>SUMIF('Keyword Results'!$A:$A,"Danes",'Keyword Results'!$F:$F)</f>
        <v>0</v>
      </c>
      <c r="E33" s="3">
        <f>SUMIF('Keyword Results'!$A:$A,"Danes",'Keyword Results'!$G:$G)</f>
        <v>0</v>
      </c>
      <c r="F33" s="3">
        <f>SUMIF('Keyword Results'!$A:$A,"Danes",'Keyword Results'!$H:$H)</f>
        <v>0</v>
      </c>
      <c r="G33" s="3">
        <f>SUMIF('Keyword Results'!$A:$A,"Danes",'Keyword Results'!$I:$I)</f>
        <v>0</v>
      </c>
      <c r="H33" s="3">
        <f>SUMIF('Keyword Results'!$A:$A,"Danes",'Keyword Results'!$J:$J)</f>
        <v>0</v>
      </c>
      <c r="I33" s="3">
        <f>SUMIF('Keyword Results'!$A:$A,"Danes",'Keyword Results'!$K:$K)</f>
        <v>0</v>
      </c>
      <c r="J33" s="3">
        <f>SUMIF('Keyword Results'!$A:$A,"Danes",'Keyword Results'!$L:$L)</f>
        <v>0</v>
      </c>
      <c r="K33" s="3">
        <f>SUMIF('Keyword Results'!$A:$A,"Danes",'Keyword Results'!$M:$M)</f>
        <v>0</v>
      </c>
      <c r="L33" s="3">
        <f>SUMIF('Keyword Results'!$A:$A,"Danes",'Keyword Results'!$N:$N)</f>
        <v>0</v>
      </c>
      <c r="M33" s="3">
        <f>SUMIF('Keyword Results'!$A:$A,"Danes",'Keyword Results'!$O:$O)</f>
        <v>0</v>
      </c>
      <c r="N33" s="3">
        <f>SUMIF('Keyword Results'!$A:$A,"Danes",'Keyword Results'!$P:$P)</f>
        <v>0</v>
      </c>
      <c r="O33" s="3">
        <f>SUMIF('Keyword Results'!$A:$A,"Danes",'Keyword Results'!$Q:$Q)</f>
        <v>0</v>
      </c>
      <c r="P33" s="3">
        <f>SUMIF('Keyword Results'!$A:$A,"Danes",'Keyword Results'!$R:$R)</f>
        <v>0</v>
      </c>
      <c r="Q33" s="3">
        <f>SUMIF('Keyword Results'!$A:$A,"Danes",'Keyword Results'!$S:$S)</f>
        <v>0</v>
      </c>
      <c r="R33" s="3">
        <f>SUMIF('Keyword Results'!$A:$A,"Danes",'Keyword Results'!$T:$T)</f>
        <v>0</v>
      </c>
      <c r="S33" s="3">
        <f>SUMIF('Keyword Results'!$A:$A,"Danes",'Keyword Results'!$U:$U)</f>
        <v>0</v>
      </c>
      <c r="T33" s="3">
        <f>SUMIF('Keyword Results'!$A:$A,"Danes",'Keyword Results'!$V:$V)</f>
        <v>0</v>
      </c>
      <c r="U33" s="3">
        <f>SUMIF('Keyword Results'!$A:$A,"Danes",'Keyword Results'!$W:$W)</f>
        <v>0</v>
      </c>
      <c r="V33" s="3">
        <f>SUMIF('Keyword Results'!$A:$A,"Danes",'Keyword Results'!$X:$X)</f>
        <v>0</v>
      </c>
      <c r="W33" s="3">
        <f t="shared" si="0"/>
        <v>0</v>
      </c>
    </row>
    <row r="34" spans="1:23" x14ac:dyDescent="0.2">
      <c r="A34" s="2" t="s">
        <v>61</v>
      </c>
      <c r="B34" s="3">
        <f>SUMIF('Keyword Results'!$A:$A,"Djiboutians",'Keyword Results'!$D:$D)</f>
        <v>11</v>
      </c>
      <c r="C34" s="3">
        <f>SUMIF('Keyword Results'!$A:$A,"Djiboutians",'Keyword Results'!$E:$E)</f>
        <v>0</v>
      </c>
      <c r="D34" s="3">
        <f>SUMIF('Keyword Results'!$A:$A,"Djiboutians",'Keyword Results'!$F:$F)</f>
        <v>0</v>
      </c>
      <c r="E34" s="3">
        <f>SUMIF('Keyword Results'!$A:$A,"Djiboutians",'Keyword Results'!$G:$G)</f>
        <v>0</v>
      </c>
      <c r="F34" s="3">
        <f>SUMIF('Keyword Results'!$A:$A,"Djiboutians",'Keyword Results'!$H:$H)</f>
        <v>0</v>
      </c>
      <c r="G34" s="3">
        <f>SUMIF('Keyword Results'!$A:$A,"Djiboutians",'Keyword Results'!$I:$I)</f>
        <v>0</v>
      </c>
      <c r="H34" s="3">
        <f>SUMIF('Keyword Results'!$A:$A,"Djiboutians",'Keyword Results'!$J:$J)</f>
        <v>0</v>
      </c>
      <c r="I34" s="3">
        <f>SUMIF('Keyword Results'!$A:$A,"Djiboutians",'Keyword Results'!$K:$K)</f>
        <v>0</v>
      </c>
      <c r="J34" s="3">
        <f>SUMIF('Keyword Results'!$A:$A,"Djiboutians",'Keyword Results'!$L:$L)</f>
        <v>0</v>
      </c>
      <c r="K34" s="3">
        <f>SUMIF('Keyword Results'!$A:$A,"Djiboutians",'Keyword Results'!$M:$M)</f>
        <v>0</v>
      </c>
      <c r="L34" s="3">
        <f>SUMIF('Keyword Results'!$A:$A,"Djiboutians",'Keyword Results'!$N:$N)</f>
        <v>0</v>
      </c>
      <c r="M34" s="3">
        <f>SUMIF('Keyword Results'!$A:$A,"Djiboutians",'Keyword Results'!$O:$O)</f>
        <v>0</v>
      </c>
      <c r="N34" s="3">
        <f>SUMIF('Keyword Results'!$A:$A,"Djiboutians",'Keyword Results'!$P:$P)</f>
        <v>0</v>
      </c>
      <c r="O34" s="3">
        <f>SUMIF('Keyword Results'!$A:$A,"Djiboutians",'Keyword Results'!$Q:$Q)</f>
        <v>0</v>
      </c>
      <c r="P34" s="3">
        <f>SUMIF('Keyword Results'!$A:$A,"Djiboutians",'Keyword Results'!$R:$R)</f>
        <v>0</v>
      </c>
      <c r="Q34" s="3">
        <f>SUMIF('Keyword Results'!$A:$A,"Djiboutians",'Keyword Results'!$S:$S)</f>
        <v>0</v>
      </c>
      <c r="R34" s="3">
        <f>SUMIF('Keyword Results'!$A:$A,"Djiboutians",'Keyword Results'!$T:$T)</f>
        <v>0</v>
      </c>
      <c r="S34" s="3">
        <f>SUMIF('Keyword Results'!$A:$A,"Djiboutians",'Keyword Results'!$U:$U)</f>
        <v>0</v>
      </c>
      <c r="T34" s="3">
        <f>SUMIF('Keyword Results'!$A:$A,"Djiboutians",'Keyword Results'!$V:$V)</f>
        <v>0</v>
      </c>
      <c r="U34" s="3">
        <f>SUMIF('Keyword Results'!$A:$A,"Djiboutians",'Keyword Results'!$W:$W)</f>
        <v>0</v>
      </c>
      <c r="V34" s="3">
        <f>SUMIF('Keyword Results'!$A:$A,"Djiboutians",'Keyword Results'!$X:$X)</f>
        <v>0</v>
      </c>
      <c r="W34" s="3">
        <f t="shared" si="0"/>
        <v>0</v>
      </c>
    </row>
    <row r="35" spans="1:23" x14ac:dyDescent="0.2">
      <c r="A35" s="2" t="s">
        <v>62</v>
      </c>
      <c r="B35" s="3">
        <f>SUMIF('Keyword Results'!$A:$A,"Dominicans",'Keyword Results'!$D:$D)</f>
        <v>10</v>
      </c>
      <c r="C35" s="3">
        <f>SUMIF('Keyword Results'!$A:$A,"Dominicans",'Keyword Results'!$E:$E)</f>
        <v>0</v>
      </c>
      <c r="D35" s="3">
        <f>SUMIF('Keyword Results'!$A:$A,"Dominicans",'Keyword Results'!$F:$F)</f>
        <v>0</v>
      </c>
      <c r="E35" s="3">
        <f>SUMIF('Keyword Results'!$A:$A,"Dominicans",'Keyword Results'!$G:$G)</f>
        <v>1</v>
      </c>
      <c r="F35" s="3">
        <f>SUMIF('Keyword Results'!$A:$A,"Dominicans",'Keyword Results'!$H:$H)</f>
        <v>0</v>
      </c>
      <c r="G35" s="3">
        <f>SUMIF('Keyword Results'!$A:$A,"Dominicans",'Keyword Results'!$I:$I)</f>
        <v>0</v>
      </c>
      <c r="H35" s="3">
        <f>SUMIF('Keyword Results'!$A:$A,"Dominicans",'Keyword Results'!$J:$J)</f>
        <v>0</v>
      </c>
      <c r="I35" s="3">
        <f>SUMIF('Keyword Results'!$A:$A,"Dominicans",'Keyword Results'!$K:$K)</f>
        <v>0</v>
      </c>
      <c r="J35" s="3">
        <f>SUMIF('Keyword Results'!$A:$A,"Dominicans",'Keyword Results'!$L:$L)</f>
        <v>0</v>
      </c>
      <c r="K35" s="3">
        <f>SUMIF('Keyword Results'!$A:$A,"Dominicans",'Keyword Results'!$M:$M)</f>
        <v>0</v>
      </c>
      <c r="L35" s="3">
        <f>SUMIF('Keyword Results'!$A:$A,"Dominicans",'Keyword Results'!$N:$N)</f>
        <v>0</v>
      </c>
      <c r="M35" s="3">
        <f>SUMIF('Keyword Results'!$A:$A,"Dominicans",'Keyword Results'!$O:$O)</f>
        <v>0</v>
      </c>
      <c r="N35" s="3">
        <f>SUMIF('Keyword Results'!$A:$A,"Dominicans",'Keyword Results'!$P:$P)</f>
        <v>0</v>
      </c>
      <c r="O35" s="3">
        <f>SUMIF('Keyword Results'!$A:$A,"Dominicans",'Keyword Results'!$Q:$Q)</f>
        <v>0</v>
      </c>
      <c r="P35" s="3">
        <f>SUMIF('Keyword Results'!$A:$A,"Dominicans",'Keyword Results'!$R:$R)</f>
        <v>0</v>
      </c>
      <c r="Q35" s="3">
        <f>SUMIF('Keyword Results'!$A:$A,"Dominicans",'Keyword Results'!$S:$S)</f>
        <v>0</v>
      </c>
      <c r="R35" s="3">
        <f>SUMIF('Keyword Results'!$A:$A,"Dominicans",'Keyword Results'!$T:$T)</f>
        <v>0</v>
      </c>
      <c r="S35" s="3">
        <f>SUMIF('Keyword Results'!$A:$A,"Dominicans",'Keyword Results'!$U:$U)</f>
        <v>0</v>
      </c>
      <c r="T35" s="3">
        <f>SUMIF('Keyword Results'!$A:$A,"Dominicans",'Keyword Results'!$V:$V)</f>
        <v>0</v>
      </c>
      <c r="U35" s="3">
        <f>SUMIF('Keyword Results'!$A:$A,"Dominicans",'Keyword Results'!$W:$W)</f>
        <v>0</v>
      </c>
      <c r="V35" s="3">
        <f>SUMIF('Keyword Results'!$A:$A,"Dominicans",'Keyword Results'!$X:$X)</f>
        <v>0</v>
      </c>
      <c r="W35" s="3">
        <f t="shared" si="0"/>
        <v>1</v>
      </c>
    </row>
    <row r="36" spans="1:23" x14ac:dyDescent="0.2">
      <c r="A36" s="2" t="s">
        <v>63</v>
      </c>
      <c r="B36" s="3">
        <f>SUMIF('Keyword Results'!$A:$A,"Dutch_people",'Keyword Results'!$D:$D)</f>
        <v>3</v>
      </c>
      <c r="C36" s="3">
        <f>SUMIF('Keyword Results'!$A:$A,"Dutch_people",'Keyword Results'!$E:$E)</f>
        <v>0</v>
      </c>
      <c r="D36" s="3">
        <f>SUMIF('Keyword Results'!$A:$A,"Dutch_people",'Keyword Results'!$F:$F)</f>
        <v>0</v>
      </c>
      <c r="E36" s="3">
        <f>SUMIF('Keyword Results'!$A:$A,"Dutch_people",'Keyword Results'!$G:$G)</f>
        <v>0</v>
      </c>
      <c r="F36" s="3">
        <f>SUMIF('Keyword Results'!$A:$A,"Dutch_people",'Keyword Results'!$H:$H)</f>
        <v>0</v>
      </c>
      <c r="G36" s="3">
        <f>SUMIF('Keyword Results'!$A:$A,"Dutch_people",'Keyword Results'!$I:$I)</f>
        <v>0</v>
      </c>
      <c r="H36" s="3">
        <f>SUMIF('Keyword Results'!$A:$A,"Dutch_people",'Keyword Results'!$J:$J)</f>
        <v>0</v>
      </c>
      <c r="I36" s="3">
        <f>SUMIF('Keyword Results'!$A:$A,"Dutch_people",'Keyword Results'!$K:$K)</f>
        <v>0</v>
      </c>
      <c r="J36" s="3">
        <f>SUMIF('Keyword Results'!$A:$A,"Dutch_people",'Keyword Results'!$L:$L)</f>
        <v>0</v>
      </c>
      <c r="K36" s="3">
        <f>SUMIF('Keyword Results'!$A:$A,"Dutch_people",'Keyword Results'!$M:$M)</f>
        <v>0</v>
      </c>
      <c r="L36" s="3">
        <f>SUMIF('Keyword Results'!$A:$A,"Dutch_people",'Keyword Results'!$N:$N)</f>
        <v>0</v>
      </c>
      <c r="M36" s="3">
        <f>SUMIF('Keyword Results'!$A:$A,"Dutch_people",'Keyword Results'!$O:$O)</f>
        <v>0</v>
      </c>
      <c r="N36" s="3">
        <f>SUMIF('Keyword Results'!$A:$A,"Dutch_people",'Keyword Results'!$P:$P)</f>
        <v>0</v>
      </c>
      <c r="O36" s="3">
        <f>SUMIF('Keyword Results'!$A:$A,"Dutch_people",'Keyword Results'!$Q:$Q)</f>
        <v>0</v>
      </c>
      <c r="P36" s="3">
        <f>SUMIF('Keyword Results'!$A:$A,"Dutch_people",'Keyword Results'!$R:$R)</f>
        <v>0</v>
      </c>
      <c r="Q36" s="3">
        <f>SUMIF('Keyword Results'!$A:$A,"Dutch_people",'Keyword Results'!$S:$S)</f>
        <v>0</v>
      </c>
      <c r="R36" s="3">
        <f>SUMIF('Keyword Results'!$A:$A,"Dutch_people",'Keyword Results'!$T:$T)</f>
        <v>0</v>
      </c>
      <c r="S36" s="3">
        <f>SUMIF('Keyword Results'!$A:$A,"Dutch_people",'Keyword Results'!$U:$U)</f>
        <v>0</v>
      </c>
      <c r="T36" s="3">
        <f>SUMIF('Keyword Results'!$A:$A,"Dutch_people",'Keyword Results'!$V:$V)</f>
        <v>0</v>
      </c>
      <c r="U36" s="3">
        <f>SUMIF('Keyword Results'!$A:$A,"Dutch_people",'Keyword Results'!$W:$W)</f>
        <v>0</v>
      </c>
      <c r="V36" s="3">
        <f>SUMIF('Keyword Results'!$A:$A,"Dutch_people",'Keyword Results'!$X:$X)</f>
        <v>0</v>
      </c>
      <c r="W36" s="3">
        <f t="shared" si="0"/>
        <v>0</v>
      </c>
    </row>
    <row r="37" spans="1:23" x14ac:dyDescent="0.2">
      <c r="A37" s="2" t="s">
        <v>64</v>
      </c>
      <c r="B37" s="3">
        <f>SUMIF('Keyword Results'!$A:$A,"Ecuadorians",'Keyword Results'!$D:$D)</f>
        <v>9</v>
      </c>
      <c r="C37" s="3">
        <f>SUMIF('Keyword Results'!$A:$A,"Ecuadorians",'Keyword Results'!$E:$E)</f>
        <v>0</v>
      </c>
      <c r="D37" s="3">
        <f>SUMIF('Keyword Results'!$A:$A,"Ecuadorians",'Keyword Results'!$F:$F)</f>
        <v>0</v>
      </c>
      <c r="E37" s="3">
        <f>SUMIF('Keyword Results'!$A:$A,"Ecuadorians",'Keyword Results'!$G:$G)</f>
        <v>0</v>
      </c>
      <c r="F37" s="3">
        <f>SUMIF('Keyword Results'!$A:$A,"Ecuadorians",'Keyword Results'!$H:$H)</f>
        <v>0</v>
      </c>
      <c r="G37" s="3">
        <f>SUMIF('Keyword Results'!$A:$A,"Ecuadorians",'Keyword Results'!$I:$I)</f>
        <v>1</v>
      </c>
      <c r="H37" s="3">
        <f>SUMIF('Keyword Results'!$A:$A,"Ecuadorians",'Keyword Results'!$J:$J)</f>
        <v>0</v>
      </c>
      <c r="I37" s="3">
        <f>SUMIF('Keyword Results'!$A:$A,"Ecuadorians",'Keyword Results'!$K:$K)</f>
        <v>0</v>
      </c>
      <c r="J37" s="3">
        <f>SUMIF('Keyword Results'!$A:$A,"Ecuadorians",'Keyword Results'!$L:$L)</f>
        <v>0</v>
      </c>
      <c r="K37" s="3">
        <f>SUMIF('Keyword Results'!$A:$A,"Ecuadorians",'Keyword Results'!$M:$M)</f>
        <v>0</v>
      </c>
      <c r="L37" s="3">
        <f>SUMIF('Keyword Results'!$A:$A,"Ecuadorians",'Keyword Results'!$N:$N)</f>
        <v>0</v>
      </c>
      <c r="M37" s="3">
        <f>SUMIF('Keyword Results'!$A:$A,"Ecuadorians",'Keyword Results'!$O:$O)</f>
        <v>0</v>
      </c>
      <c r="N37" s="3">
        <f>SUMIF('Keyword Results'!$A:$A,"Ecuadorians",'Keyword Results'!$P:$P)</f>
        <v>0</v>
      </c>
      <c r="O37" s="3">
        <f>SUMIF('Keyword Results'!$A:$A,"Ecuadorians",'Keyword Results'!$Q:$Q)</f>
        <v>0</v>
      </c>
      <c r="P37" s="3">
        <f>SUMIF('Keyword Results'!$A:$A,"Ecuadorians",'Keyword Results'!$R:$R)</f>
        <v>0</v>
      </c>
      <c r="Q37" s="3">
        <f>SUMIF('Keyword Results'!$A:$A,"Ecuadorians",'Keyword Results'!$S:$S)</f>
        <v>0</v>
      </c>
      <c r="R37" s="3">
        <f>SUMIF('Keyword Results'!$A:$A,"Ecuadorians",'Keyword Results'!$T:$T)</f>
        <v>0</v>
      </c>
      <c r="S37" s="3">
        <f>SUMIF('Keyword Results'!$A:$A,"Ecuadorians",'Keyword Results'!$U:$U)</f>
        <v>0</v>
      </c>
      <c r="T37" s="3">
        <f>SUMIF('Keyword Results'!$A:$A,"Ecuadorians",'Keyword Results'!$V:$V)</f>
        <v>0</v>
      </c>
      <c r="U37" s="3">
        <f>SUMIF('Keyword Results'!$A:$A,"Ecuadorians",'Keyword Results'!$W:$W)</f>
        <v>0</v>
      </c>
      <c r="V37" s="3">
        <f>SUMIF('Keyword Results'!$A:$A,"Ecuadorians",'Keyword Results'!$X:$X)</f>
        <v>0</v>
      </c>
      <c r="W37" s="3">
        <f t="shared" si="0"/>
        <v>1</v>
      </c>
    </row>
    <row r="38" spans="1:23" x14ac:dyDescent="0.2">
      <c r="A38" s="2" t="s">
        <v>65</v>
      </c>
      <c r="B38" s="3">
        <f>SUMIF('Keyword Results'!$A:$A,"Egyptians",'Keyword Results'!$D:$D)</f>
        <v>14</v>
      </c>
      <c r="C38" s="3">
        <f>SUMIF('Keyword Results'!$A:$A,"Egyptians",'Keyword Results'!$E:$E)</f>
        <v>0</v>
      </c>
      <c r="D38" s="3">
        <f>SUMIF('Keyword Results'!$A:$A,"Egyptians",'Keyword Results'!$F:$F)</f>
        <v>0</v>
      </c>
      <c r="E38" s="3">
        <f>SUMIF('Keyword Results'!$A:$A,"Egyptians",'Keyword Results'!$G:$G)</f>
        <v>0</v>
      </c>
      <c r="F38" s="3">
        <f>SUMIF('Keyword Results'!$A:$A,"Egyptians",'Keyword Results'!$H:$H)</f>
        <v>0</v>
      </c>
      <c r="G38" s="3">
        <f>SUMIF('Keyword Results'!$A:$A,"Egyptians",'Keyword Results'!$I:$I)</f>
        <v>0</v>
      </c>
      <c r="H38" s="3">
        <f>SUMIF('Keyword Results'!$A:$A,"Egyptians",'Keyword Results'!$J:$J)</f>
        <v>0</v>
      </c>
      <c r="I38" s="3">
        <f>SUMIF('Keyword Results'!$A:$A,"Egyptians",'Keyword Results'!$K:$K)</f>
        <v>0</v>
      </c>
      <c r="J38" s="3">
        <f>SUMIF('Keyword Results'!$A:$A,"Egyptians",'Keyword Results'!$L:$L)</f>
        <v>0</v>
      </c>
      <c r="K38" s="3">
        <f>SUMIF('Keyword Results'!$A:$A,"Egyptians",'Keyword Results'!$M:$M)</f>
        <v>0</v>
      </c>
      <c r="L38" s="3">
        <f>SUMIF('Keyword Results'!$A:$A,"Egyptians",'Keyword Results'!$N:$N)</f>
        <v>0</v>
      </c>
      <c r="M38" s="3">
        <f>SUMIF('Keyword Results'!$A:$A,"Egyptians",'Keyword Results'!$O:$O)</f>
        <v>0</v>
      </c>
      <c r="N38" s="3">
        <f>SUMIF('Keyword Results'!$A:$A,"Egyptians",'Keyword Results'!$P:$P)</f>
        <v>0</v>
      </c>
      <c r="O38" s="3">
        <f>SUMIF('Keyword Results'!$A:$A,"Egyptians",'Keyword Results'!$Q:$Q)</f>
        <v>0</v>
      </c>
      <c r="P38" s="3">
        <f>SUMIF('Keyword Results'!$A:$A,"Egyptians",'Keyword Results'!$R:$R)</f>
        <v>0</v>
      </c>
      <c r="Q38" s="3">
        <f>SUMIF('Keyword Results'!$A:$A,"Egyptians",'Keyword Results'!$S:$S)</f>
        <v>0</v>
      </c>
      <c r="R38" s="3">
        <f>SUMIF('Keyword Results'!$A:$A,"Egyptians",'Keyword Results'!$T:$T)</f>
        <v>0</v>
      </c>
      <c r="S38" s="3">
        <f>SUMIF('Keyword Results'!$A:$A,"Egyptians",'Keyword Results'!$U:$U)</f>
        <v>0</v>
      </c>
      <c r="T38" s="3">
        <f>SUMIF('Keyword Results'!$A:$A,"Egyptians",'Keyword Results'!$V:$V)</f>
        <v>0</v>
      </c>
      <c r="U38" s="3">
        <f>SUMIF('Keyword Results'!$A:$A,"Egyptians",'Keyword Results'!$W:$W)</f>
        <v>0</v>
      </c>
      <c r="V38" s="3">
        <f>SUMIF('Keyword Results'!$A:$A,"Egyptians",'Keyword Results'!$X:$X)</f>
        <v>0</v>
      </c>
      <c r="W38" s="3">
        <f t="shared" si="0"/>
        <v>0</v>
      </c>
    </row>
    <row r="39" spans="1:23" x14ac:dyDescent="0.2">
      <c r="A39" s="2" t="s">
        <v>66</v>
      </c>
      <c r="B39" s="3">
        <f>SUMIF('Keyword Results'!$A:$A,"Emiratis",'Keyword Results'!$D:$D)</f>
        <v>8</v>
      </c>
      <c r="C39" s="3">
        <f>SUMIF('Keyword Results'!$A:$A,"Emiratis",'Keyword Results'!$E:$E)</f>
        <v>1</v>
      </c>
      <c r="D39" s="3">
        <f>SUMIF('Keyword Results'!$A:$A,"Emiratis",'Keyword Results'!$F:$F)</f>
        <v>0</v>
      </c>
      <c r="E39" s="3">
        <f>SUMIF('Keyword Results'!$A:$A,"Emiratis",'Keyword Results'!$G:$G)</f>
        <v>0</v>
      </c>
      <c r="F39" s="3">
        <f>SUMIF('Keyword Results'!$A:$A,"Emiratis",'Keyword Results'!$H:$H)</f>
        <v>0</v>
      </c>
      <c r="G39" s="3">
        <f>SUMIF('Keyword Results'!$A:$A,"Emiratis",'Keyword Results'!$I:$I)</f>
        <v>0</v>
      </c>
      <c r="H39" s="3">
        <f>SUMIF('Keyword Results'!$A:$A,"Emiratis",'Keyword Results'!$J:$J)</f>
        <v>0</v>
      </c>
      <c r="I39" s="3">
        <f>SUMIF('Keyword Results'!$A:$A,"Emiratis",'Keyword Results'!$K:$K)</f>
        <v>0</v>
      </c>
      <c r="J39" s="3">
        <f>SUMIF('Keyword Results'!$A:$A,"Emiratis",'Keyword Results'!$L:$L)</f>
        <v>0</v>
      </c>
      <c r="K39" s="3">
        <f>SUMIF('Keyword Results'!$A:$A,"Emiratis",'Keyword Results'!$M:$M)</f>
        <v>0</v>
      </c>
      <c r="L39" s="3">
        <f>SUMIF('Keyword Results'!$A:$A,"Emiratis",'Keyword Results'!$N:$N)</f>
        <v>0</v>
      </c>
      <c r="M39" s="3">
        <f>SUMIF('Keyword Results'!$A:$A,"Emiratis",'Keyword Results'!$O:$O)</f>
        <v>0</v>
      </c>
      <c r="N39" s="3">
        <f>SUMIF('Keyword Results'!$A:$A,"Emiratis",'Keyword Results'!$P:$P)</f>
        <v>0</v>
      </c>
      <c r="O39" s="3">
        <f>SUMIF('Keyword Results'!$A:$A,"Emiratis",'Keyword Results'!$Q:$Q)</f>
        <v>0</v>
      </c>
      <c r="P39" s="3">
        <f>SUMIF('Keyword Results'!$A:$A,"Emiratis",'Keyword Results'!$R:$R)</f>
        <v>0</v>
      </c>
      <c r="Q39" s="3">
        <f>SUMIF('Keyword Results'!$A:$A,"Emiratis",'Keyword Results'!$S:$S)</f>
        <v>0</v>
      </c>
      <c r="R39" s="3">
        <f>SUMIF('Keyword Results'!$A:$A,"Emiratis",'Keyword Results'!$T:$T)</f>
        <v>0</v>
      </c>
      <c r="S39" s="3">
        <f>SUMIF('Keyword Results'!$A:$A,"Emiratis",'Keyword Results'!$U:$U)</f>
        <v>0</v>
      </c>
      <c r="T39" s="3">
        <f>SUMIF('Keyword Results'!$A:$A,"Emiratis",'Keyword Results'!$V:$V)</f>
        <v>0</v>
      </c>
      <c r="U39" s="3">
        <f>SUMIF('Keyword Results'!$A:$A,"Emiratis",'Keyword Results'!$W:$W)</f>
        <v>0</v>
      </c>
      <c r="V39" s="3">
        <f>SUMIF('Keyword Results'!$A:$A,"Emiratis",'Keyword Results'!$X:$X)</f>
        <v>0</v>
      </c>
      <c r="W39" s="3">
        <f t="shared" si="0"/>
        <v>1</v>
      </c>
    </row>
    <row r="40" spans="1:23" x14ac:dyDescent="0.2">
      <c r="A40" s="2" t="s">
        <v>67</v>
      </c>
      <c r="B40" s="3">
        <f>SUMIF('Keyword Results'!$A:$A,"English_people",'Keyword Results'!$D:$D)</f>
        <v>13</v>
      </c>
      <c r="C40" s="3">
        <f>SUMIF('Keyword Results'!$A:$A,"English_people",'Keyword Results'!$E:$E)</f>
        <v>0</v>
      </c>
      <c r="D40" s="3">
        <f>SUMIF('Keyword Results'!$A:$A,"English_people",'Keyword Results'!$F:$F)</f>
        <v>0</v>
      </c>
      <c r="E40" s="3">
        <f>SUMIF('Keyword Results'!$A:$A,"English_people",'Keyword Results'!$G:$G)</f>
        <v>0</v>
      </c>
      <c r="F40" s="3">
        <f>SUMIF('Keyword Results'!$A:$A,"English_people",'Keyword Results'!$H:$H)</f>
        <v>0</v>
      </c>
      <c r="G40" s="3">
        <f>SUMIF('Keyword Results'!$A:$A,"English_people",'Keyword Results'!$I:$I)</f>
        <v>0</v>
      </c>
      <c r="H40" s="3">
        <f>SUMIF('Keyword Results'!$A:$A,"English_people",'Keyword Results'!$J:$J)</f>
        <v>0</v>
      </c>
      <c r="I40" s="3">
        <f>SUMIF('Keyword Results'!$A:$A,"English_people",'Keyword Results'!$K:$K)</f>
        <v>0</v>
      </c>
      <c r="J40" s="3">
        <f>SUMIF('Keyword Results'!$A:$A,"English_people",'Keyword Results'!$L:$L)</f>
        <v>0</v>
      </c>
      <c r="K40" s="3">
        <f>SUMIF('Keyword Results'!$A:$A,"English_people",'Keyword Results'!$M:$M)</f>
        <v>0</v>
      </c>
      <c r="L40" s="3">
        <f>SUMIF('Keyword Results'!$A:$A,"English_people",'Keyword Results'!$N:$N)</f>
        <v>0</v>
      </c>
      <c r="M40" s="3">
        <f>SUMIF('Keyword Results'!$A:$A,"English_people",'Keyword Results'!$O:$O)</f>
        <v>0</v>
      </c>
      <c r="N40" s="3">
        <f>SUMIF('Keyword Results'!$A:$A,"English_people",'Keyword Results'!$P:$P)</f>
        <v>0</v>
      </c>
      <c r="O40" s="3">
        <f>SUMIF('Keyword Results'!$A:$A,"English_people",'Keyword Results'!$Q:$Q)</f>
        <v>0</v>
      </c>
      <c r="P40" s="3">
        <f>SUMIF('Keyword Results'!$A:$A,"English_people",'Keyword Results'!$R:$R)</f>
        <v>0</v>
      </c>
      <c r="Q40" s="3">
        <f>SUMIF('Keyword Results'!$A:$A,"English_people",'Keyword Results'!$S:$S)</f>
        <v>0</v>
      </c>
      <c r="R40" s="3">
        <f>SUMIF('Keyword Results'!$A:$A,"English_people",'Keyword Results'!$T:$T)</f>
        <v>0</v>
      </c>
      <c r="S40" s="3">
        <f>SUMIF('Keyword Results'!$A:$A,"English_people",'Keyword Results'!$U:$U)</f>
        <v>0</v>
      </c>
      <c r="T40" s="3">
        <f>SUMIF('Keyword Results'!$A:$A,"English_people",'Keyword Results'!$V:$V)</f>
        <v>0</v>
      </c>
      <c r="U40" s="3">
        <f>SUMIF('Keyword Results'!$A:$A,"English_people",'Keyword Results'!$W:$W)</f>
        <v>0</v>
      </c>
      <c r="V40" s="3">
        <f>SUMIF('Keyword Results'!$A:$A,"English_people",'Keyword Results'!$X:$X)</f>
        <v>0</v>
      </c>
      <c r="W40" s="3">
        <f t="shared" si="0"/>
        <v>0</v>
      </c>
    </row>
    <row r="41" spans="1:23" x14ac:dyDescent="0.2">
      <c r="A41" s="2" t="s">
        <v>68</v>
      </c>
      <c r="B41" s="3">
        <f>SUMIF('Keyword Results'!$A:$A,"Eritreans",'Keyword Results'!$D:$D)</f>
        <v>3</v>
      </c>
      <c r="C41" s="3">
        <f>SUMIF('Keyword Results'!$A:$A,"Eritreans",'Keyword Results'!$E:$E)</f>
        <v>0</v>
      </c>
      <c r="D41" s="3">
        <f>SUMIF('Keyword Results'!$A:$A,"Eritreans",'Keyword Results'!$F:$F)</f>
        <v>0</v>
      </c>
      <c r="E41" s="3">
        <f>SUMIF('Keyword Results'!$A:$A,"Eritreans",'Keyword Results'!$G:$G)</f>
        <v>0</v>
      </c>
      <c r="F41" s="3">
        <f>SUMIF('Keyword Results'!$A:$A,"Eritreans",'Keyword Results'!$H:$H)</f>
        <v>0</v>
      </c>
      <c r="G41" s="3">
        <f>SUMIF('Keyword Results'!$A:$A,"Eritreans",'Keyword Results'!$I:$I)</f>
        <v>0</v>
      </c>
      <c r="H41" s="3">
        <f>SUMIF('Keyword Results'!$A:$A,"Eritreans",'Keyword Results'!$J:$J)</f>
        <v>0</v>
      </c>
      <c r="I41" s="3">
        <f>SUMIF('Keyword Results'!$A:$A,"Eritreans",'Keyword Results'!$K:$K)</f>
        <v>0</v>
      </c>
      <c r="J41" s="3">
        <f>SUMIF('Keyword Results'!$A:$A,"Eritreans",'Keyword Results'!$L:$L)</f>
        <v>0</v>
      </c>
      <c r="K41" s="3">
        <f>SUMIF('Keyword Results'!$A:$A,"Eritreans",'Keyword Results'!$M:$M)</f>
        <v>0</v>
      </c>
      <c r="L41" s="3">
        <f>SUMIF('Keyword Results'!$A:$A,"Eritreans",'Keyword Results'!$N:$N)</f>
        <v>0</v>
      </c>
      <c r="M41" s="3">
        <f>SUMIF('Keyword Results'!$A:$A,"Eritreans",'Keyword Results'!$O:$O)</f>
        <v>0</v>
      </c>
      <c r="N41" s="3">
        <f>SUMIF('Keyword Results'!$A:$A,"Eritreans",'Keyword Results'!$P:$P)</f>
        <v>0</v>
      </c>
      <c r="O41" s="3">
        <f>SUMIF('Keyword Results'!$A:$A,"Eritreans",'Keyword Results'!$Q:$Q)</f>
        <v>0</v>
      </c>
      <c r="P41" s="3">
        <f>SUMIF('Keyword Results'!$A:$A,"Eritreans",'Keyword Results'!$R:$R)</f>
        <v>0</v>
      </c>
      <c r="Q41" s="3">
        <f>SUMIF('Keyword Results'!$A:$A,"Eritreans",'Keyword Results'!$S:$S)</f>
        <v>0</v>
      </c>
      <c r="R41" s="3">
        <f>SUMIF('Keyword Results'!$A:$A,"Eritreans",'Keyword Results'!$T:$T)</f>
        <v>0</v>
      </c>
      <c r="S41" s="3">
        <f>SUMIF('Keyword Results'!$A:$A,"Eritreans",'Keyword Results'!$U:$U)</f>
        <v>0</v>
      </c>
      <c r="T41" s="3">
        <f>SUMIF('Keyword Results'!$A:$A,"Eritreans",'Keyword Results'!$V:$V)</f>
        <v>0</v>
      </c>
      <c r="U41" s="3">
        <f>SUMIF('Keyword Results'!$A:$A,"Eritreans",'Keyword Results'!$W:$W)</f>
        <v>0</v>
      </c>
      <c r="V41" s="3">
        <f>SUMIF('Keyword Results'!$A:$A,"Eritreans",'Keyword Results'!$X:$X)</f>
        <v>0</v>
      </c>
      <c r="W41" s="3">
        <f t="shared" si="0"/>
        <v>0</v>
      </c>
    </row>
    <row r="42" spans="1:23" x14ac:dyDescent="0.2">
      <c r="A42" s="2" t="s">
        <v>69</v>
      </c>
      <c r="B42" s="3">
        <f>SUMIF('Keyword Results'!$A:$A,"Estonians",'Keyword Results'!$D:$D)</f>
        <v>6</v>
      </c>
      <c r="C42" s="3">
        <f>SUMIF('Keyword Results'!$A:$A,"Estonians",'Keyword Results'!$E:$E)</f>
        <v>0</v>
      </c>
      <c r="D42" s="3">
        <f>SUMIF('Keyword Results'!$A:$A,"Estonians",'Keyword Results'!$F:$F)</f>
        <v>0</v>
      </c>
      <c r="E42" s="3">
        <f>SUMIF('Keyword Results'!$A:$A,"Estonians",'Keyword Results'!$G:$G)</f>
        <v>0</v>
      </c>
      <c r="F42" s="3">
        <f>SUMIF('Keyword Results'!$A:$A,"Estonians",'Keyword Results'!$H:$H)</f>
        <v>0</v>
      </c>
      <c r="G42" s="3">
        <f>SUMIF('Keyword Results'!$A:$A,"Estonians",'Keyword Results'!$I:$I)</f>
        <v>0</v>
      </c>
      <c r="H42" s="3">
        <f>SUMIF('Keyword Results'!$A:$A,"Estonians",'Keyword Results'!$J:$J)</f>
        <v>0</v>
      </c>
      <c r="I42" s="3">
        <f>SUMIF('Keyword Results'!$A:$A,"Estonians",'Keyword Results'!$K:$K)</f>
        <v>0</v>
      </c>
      <c r="J42" s="3">
        <f>SUMIF('Keyword Results'!$A:$A,"Estonians",'Keyword Results'!$L:$L)</f>
        <v>0</v>
      </c>
      <c r="K42" s="3">
        <f>SUMIF('Keyword Results'!$A:$A,"Estonians",'Keyword Results'!$M:$M)</f>
        <v>0</v>
      </c>
      <c r="L42" s="3">
        <f>SUMIF('Keyword Results'!$A:$A,"Estonians",'Keyword Results'!$N:$N)</f>
        <v>0</v>
      </c>
      <c r="M42" s="3">
        <f>SUMIF('Keyword Results'!$A:$A,"Estonians",'Keyword Results'!$O:$O)</f>
        <v>0</v>
      </c>
      <c r="N42" s="3">
        <f>SUMIF('Keyword Results'!$A:$A,"Estonians",'Keyword Results'!$P:$P)</f>
        <v>0</v>
      </c>
      <c r="O42" s="3">
        <f>SUMIF('Keyword Results'!$A:$A,"Estonians",'Keyword Results'!$Q:$Q)</f>
        <v>0</v>
      </c>
      <c r="P42" s="3">
        <f>SUMIF('Keyword Results'!$A:$A,"Estonians",'Keyword Results'!$R:$R)</f>
        <v>0</v>
      </c>
      <c r="Q42" s="3">
        <f>SUMIF('Keyword Results'!$A:$A,"Estonians",'Keyword Results'!$S:$S)</f>
        <v>0</v>
      </c>
      <c r="R42" s="3">
        <f>SUMIF('Keyword Results'!$A:$A,"Estonians",'Keyword Results'!$T:$T)</f>
        <v>0</v>
      </c>
      <c r="S42" s="3">
        <f>SUMIF('Keyword Results'!$A:$A,"Estonians",'Keyword Results'!$U:$U)</f>
        <v>0</v>
      </c>
      <c r="T42" s="3">
        <f>SUMIF('Keyword Results'!$A:$A,"Estonians",'Keyword Results'!$V:$V)</f>
        <v>0</v>
      </c>
      <c r="U42" s="3">
        <f>SUMIF('Keyword Results'!$A:$A,"Estonians",'Keyword Results'!$W:$W)</f>
        <v>0</v>
      </c>
      <c r="V42" s="3">
        <f>SUMIF('Keyword Results'!$A:$A,"Estonians",'Keyword Results'!$X:$X)</f>
        <v>0</v>
      </c>
      <c r="W42" s="3">
        <f t="shared" si="0"/>
        <v>0</v>
      </c>
    </row>
    <row r="43" spans="1:23" x14ac:dyDescent="0.2">
      <c r="A43" s="2" t="s">
        <v>70</v>
      </c>
      <c r="B43" s="3">
        <f>SUMIF('Keyword Results'!$A:$A,"Ethiopians",'Keyword Results'!$D:$D)</f>
        <v>7</v>
      </c>
      <c r="C43" s="3">
        <f>SUMIF('Keyword Results'!$A:$A,"Ethiopians",'Keyword Results'!$E:$E)</f>
        <v>0</v>
      </c>
      <c r="D43" s="3">
        <f>SUMIF('Keyword Results'!$A:$A,"Ethiopians",'Keyword Results'!$F:$F)</f>
        <v>0</v>
      </c>
      <c r="E43" s="3">
        <f>SUMIF('Keyword Results'!$A:$A,"Ethiopians",'Keyword Results'!$G:$G)</f>
        <v>0</v>
      </c>
      <c r="F43" s="3">
        <f>SUMIF('Keyword Results'!$A:$A,"Ethiopians",'Keyword Results'!$H:$H)</f>
        <v>0</v>
      </c>
      <c r="G43" s="3">
        <f>SUMIF('Keyword Results'!$A:$A,"Ethiopians",'Keyword Results'!$I:$I)</f>
        <v>0</v>
      </c>
      <c r="H43" s="3">
        <f>SUMIF('Keyword Results'!$A:$A,"Ethiopians",'Keyword Results'!$J:$J)</f>
        <v>0</v>
      </c>
      <c r="I43" s="3">
        <f>SUMIF('Keyword Results'!$A:$A,"Ethiopians",'Keyword Results'!$K:$K)</f>
        <v>0</v>
      </c>
      <c r="J43" s="3">
        <f>SUMIF('Keyword Results'!$A:$A,"Ethiopians",'Keyword Results'!$L:$L)</f>
        <v>0</v>
      </c>
      <c r="K43" s="3">
        <f>SUMIF('Keyword Results'!$A:$A,"Ethiopians",'Keyword Results'!$M:$M)</f>
        <v>0</v>
      </c>
      <c r="L43" s="3">
        <f>SUMIF('Keyword Results'!$A:$A,"Ethiopians",'Keyword Results'!$N:$N)</f>
        <v>0</v>
      </c>
      <c r="M43" s="3">
        <f>SUMIF('Keyword Results'!$A:$A,"Ethiopians",'Keyword Results'!$O:$O)</f>
        <v>0</v>
      </c>
      <c r="N43" s="3">
        <f>SUMIF('Keyword Results'!$A:$A,"Ethiopians",'Keyword Results'!$P:$P)</f>
        <v>0</v>
      </c>
      <c r="O43" s="3">
        <f>SUMIF('Keyword Results'!$A:$A,"Ethiopians",'Keyword Results'!$Q:$Q)</f>
        <v>0</v>
      </c>
      <c r="P43" s="3">
        <f>SUMIF('Keyword Results'!$A:$A,"Ethiopians",'Keyword Results'!$R:$R)</f>
        <v>0</v>
      </c>
      <c r="Q43" s="3">
        <f>SUMIF('Keyword Results'!$A:$A,"Ethiopians",'Keyword Results'!$S:$S)</f>
        <v>0</v>
      </c>
      <c r="R43" s="3">
        <f>SUMIF('Keyword Results'!$A:$A,"Ethiopians",'Keyword Results'!$T:$T)</f>
        <v>0</v>
      </c>
      <c r="S43" s="3">
        <f>SUMIF('Keyword Results'!$A:$A,"Ethiopians",'Keyword Results'!$U:$U)</f>
        <v>0</v>
      </c>
      <c r="T43" s="3">
        <f>SUMIF('Keyword Results'!$A:$A,"Ethiopians",'Keyword Results'!$V:$V)</f>
        <v>0</v>
      </c>
      <c r="U43" s="3">
        <f>SUMIF('Keyword Results'!$A:$A,"Ethiopians",'Keyword Results'!$W:$W)</f>
        <v>0</v>
      </c>
      <c r="V43" s="3">
        <f>SUMIF('Keyword Results'!$A:$A,"Ethiopians",'Keyword Results'!$X:$X)</f>
        <v>0</v>
      </c>
      <c r="W43" s="3">
        <f t="shared" si="0"/>
        <v>0</v>
      </c>
    </row>
    <row r="44" spans="1:23" x14ac:dyDescent="0.2">
      <c r="A44" s="2" t="s">
        <v>71</v>
      </c>
      <c r="B44" s="3">
        <f>SUMIF('Keyword Results'!$A:$A,"Fijians",'Keyword Results'!$D:$D)</f>
        <v>5</v>
      </c>
      <c r="C44" s="3">
        <f>SUMIF('Keyword Results'!$A:$A,"Fijians",'Keyword Results'!$E:$E)</f>
        <v>1</v>
      </c>
      <c r="D44" s="3">
        <f>SUMIF('Keyword Results'!$A:$A,"Fijians",'Keyword Results'!$F:$F)</f>
        <v>0</v>
      </c>
      <c r="E44" s="3">
        <f>SUMIF('Keyword Results'!$A:$A,"Fijians",'Keyword Results'!$G:$G)</f>
        <v>0</v>
      </c>
      <c r="F44" s="3">
        <f>SUMIF('Keyword Results'!$A:$A,"Fijians",'Keyword Results'!$H:$H)</f>
        <v>0</v>
      </c>
      <c r="G44" s="3">
        <f>SUMIF('Keyword Results'!$A:$A,"Fijians",'Keyword Results'!$I:$I)</f>
        <v>0</v>
      </c>
      <c r="H44" s="3">
        <f>SUMIF('Keyword Results'!$A:$A,"Fijians",'Keyword Results'!$J:$J)</f>
        <v>0</v>
      </c>
      <c r="I44" s="3">
        <f>SUMIF('Keyword Results'!$A:$A,"Fijians",'Keyword Results'!$K:$K)</f>
        <v>0</v>
      </c>
      <c r="J44" s="3">
        <f>SUMIF('Keyword Results'!$A:$A,"Fijians",'Keyword Results'!$L:$L)</f>
        <v>0</v>
      </c>
      <c r="K44" s="3">
        <f>SUMIF('Keyword Results'!$A:$A,"Fijians",'Keyword Results'!$M:$M)</f>
        <v>0</v>
      </c>
      <c r="L44" s="3">
        <f>SUMIF('Keyword Results'!$A:$A,"Fijians",'Keyword Results'!$N:$N)</f>
        <v>0</v>
      </c>
      <c r="M44" s="3">
        <f>SUMIF('Keyword Results'!$A:$A,"Fijians",'Keyword Results'!$O:$O)</f>
        <v>0</v>
      </c>
      <c r="N44" s="3">
        <f>SUMIF('Keyword Results'!$A:$A,"Fijians",'Keyword Results'!$P:$P)</f>
        <v>0</v>
      </c>
      <c r="O44" s="3">
        <f>SUMIF('Keyword Results'!$A:$A,"Fijians",'Keyword Results'!$Q:$Q)</f>
        <v>0</v>
      </c>
      <c r="P44" s="3">
        <f>SUMIF('Keyword Results'!$A:$A,"Fijians",'Keyword Results'!$R:$R)</f>
        <v>0</v>
      </c>
      <c r="Q44" s="3">
        <f>SUMIF('Keyword Results'!$A:$A,"Fijians",'Keyword Results'!$S:$S)</f>
        <v>0</v>
      </c>
      <c r="R44" s="3">
        <f>SUMIF('Keyword Results'!$A:$A,"Fijians",'Keyword Results'!$T:$T)</f>
        <v>0</v>
      </c>
      <c r="S44" s="3">
        <f>SUMIF('Keyword Results'!$A:$A,"Fijians",'Keyword Results'!$U:$U)</f>
        <v>0</v>
      </c>
      <c r="T44" s="3">
        <f>SUMIF('Keyword Results'!$A:$A,"Fijians",'Keyword Results'!$V:$V)</f>
        <v>0</v>
      </c>
      <c r="U44" s="3">
        <f>SUMIF('Keyword Results'!$A:$A,"Fijians",'Keyword Results'!$W:$W)</f>
        <v>0</v>
      </c>
      <c r="V44" s="3">
        <f>SUMIF('Keyword Results'!$A:$A,"Fijians",'Keyword Results'!$X:$X)</f>
        <v>0</v>
      </c>
      <c r="W44" s="3">
        <f t="shared" si="0"/>
        <v>1</v>
      </c>
    </row>
    <row r="45" spans="1:23" x14ac:dyDescent="0.2">
      <c r="A45" s="2" t="s">
        <v>72</v>
      </c>
      <c r="B45" s="3">
        <f>SUMIF('Keyword Results'!$A:$A,"Filipinos",'Keyword Results'!$D:$D)</f>
        <v>5</v>
      </c>
      <c r="C45" s="3">
        <f>SUMIF('Keyword Results'!$A:$A,"Filipinos",'Keyword Results'!$E:$E)</f>
        <v>0</v>
      </c>
      <c r="D45" s="3">
        <f>SUMIF('Keyword Results'!$A:$A,"Filipinos",'Keyword Results'!$F:$F)</f>
        <v>0</v>
      </c>
      <c r="E45" s="3">
        <f>SUMIF('Keyword Results'!$A:$A,"Filipinos",'Keyword Results'!$G:$G)</f>
        <v>0</v>
      </c>
      <c r="F45" s="3">
        <f>SUMIF('Keyword Results'!$A:$A,"Filipinos",'Keyword Results'!$H:$H)</f>
        <v>0</v>
      </c>
      <c r="G45" s="3">
        <f>SUMIF('Keyword Results'!$A:$A,"Filipinos",'Keyword Results'!$I:$I)</f>
        <v>0</v>
      </c>
      <c r="H45" s="3">
        <f>SUMIF('Keyword Results'!$A:$A,"Filipinos",'Keyword Results'!$J:$J)</f>
        <v>0</v>
      </c>
      <c r="I45" s="3">
        <f>SUMIF('Keyword Results'!$A:$A,"Filipinos",'Keyword Results'!$K:$K)</f>
        <v>0</v>
      </c>
      <c r="J45" s="3">
        <f>SUMIF('Keyword Results'!$A:$A,"Filipinos",'Keyword Results'!$L:$L)</f>
        <v>0</v>
      </c>
      <c r="K45" s="3">
        <f>SUMIF('Keyword Results'!$A:$A,"Filipinos",'Keyword Results'!$M:$M)</f>
        <v>0</v>
      </c>
      <c r="L45" s="3">
        <f>SUMIF('Keyword Results'!$A:$A,"Filipinos",'Keyword Results'!$N:$N)</f>
        <v>0</v>
      </c>
      <c r="M45" s="3">
        <f>SUMIF('Keyword Results'!$A:$A,"Filipinos",'Keyword Results'!$O:$O)</f>
        <v>0</v>
      </c>
      <c r="N45" s="3">
        <f>SUMIF('Keyword Results'!$A:$A,"Filipinos",'Keyword Results'!$P:$P)</f>
        <v>0</v>
      </c>
      <c r="O45" s="3">
        <f>SUMIF('Keyword Results'!$A:$A,"Filipinos",'Keyword Results'!$Q:$Q)</f>
        <v>0</v>
      </c>
      <c r="P45" s="3">
        <f>SUMIF('Keyword Results'!$A:$A,"Filipinos",'Keyword Results'!$R:$R)</f>
        <v>0</v>
      </c>
      <c r="Q45" s="3">
        <f>SUMIF('Keyword Results'!$A:$A,"Filipinos",'Keyword Results'!$S:$S)</f>
        <v>0</v>
      </c>
      <c r="R45" s="3">
        <f>SUMIF('Keyword Results'!$A:$A,"Filipinos",'Keyword Results'!$T:$T)</f>
        <v>0</v>
      </c>
      <c r="S45" s="3">
        <f>SUMIF('Keyword Results'!$A:$A,"Filipinos",'Keyword Results'!$U:$U)</f>
        <v>0</v>
      </c>
      <c r="T45" s="3">
        <f>SUMIF('Keyword Results'!$A:$A,"Filipinos",'Keyword Results'!$V:$V)</f>
        <v>0</v>
      </c>
      <c r="U45" s="3">
        <f>SUMIF('Keyword Results'!$A:$A,"Filipinos",'Keyword Results'!$W:$W)</f>
        <v>0</v>
      </c>
      <c r="V45" s="3">
        <f>SUMIF('Keyword Results'!$A:$A,"Filipinos",'Keyword Results'!$X:$X)</f>
        <v>0</v>
      </c>
      <c r="W45" s="3">
        <f t="shared" si="0"/>
        <v>0</v>
      </c>
    </row>
    <row r="46" spans="1:23" x14ac:dyDescent="0.2">
      <c r="A46" s="2" t="s">
        <v>73</v>
      </c>
      <c r="B46" s="3">
        <f>SUMIF('Keyword Results'!$A:$A,"Finns",'Keyword Results'!$D:$D)</f>
        <v>9</v>
      </c>
      <c r="C46" s="3">
        <f>SUMIF('Keyword Results'!$A:$A,"Finns",'Keyword Results'!$E:$E)</f>
        <v>6</v>
      </c>
      <c r="D46" s="3">
        <f>SUMIF('Keyword Results'!$A:$A,"Finns",'Keyword Results'!$F:$F)</f>
        <v>0</v>
      </c>
      <c r="E46" s="3">
        <f>SUMIF('Keyword Results'!$A:$A,"Finns",'Keyword Results'!$G:$G)</f>
        <v>2</v>
      </c>
      <c r="F46" s="3">
        <f>SUMIF('Keyword Results'!$A:$A,"Finns",'Keyword Results'!$H:$H)</f>
        <v>0</v>
      </c>
      <c r="G46" s="3">
        <f>SUMIF('Keyword Results'!$A:$A,"Finns",'Keyword Results'!$I:$I)</f>
        <v>0</v>
      </c>
      <c r="H46" s="3">
        <f>SUMIF('Keyword Results'!$A:$A,"Finns",'Keyword Results'!$J:$J)</f>
        <v>0</v>
      </c>
      <c r="I46" s="3">
        <f>SUMIF('Keyword Results'!$A:$A,"Finns",'Keyword Results'!$K:$K)</f>
        <v>1</v>
      </c>
      <c r="J46" s="3">
        <f>SUMIF('Keyword Results'!$A:$A,"Finns",'Keyword Results'!$L:$L)</f>
        <v>0</v>
      </c>
      <c r="K46" s="3">
        <f>SUMIF('Keyword Results'!$A:$A,"Finns",'Keyword Results'!$M:$M)</f>
        <v>0</v>
      </c>
      <c r="L46" s="3">
        <f>SUMIF('Keyword Results'!$A:$A,"Finns",'Keyword Results'!$N:$N)</f>
        <v>0</v>
      </c>
      <c r="M46" s="3">
        <f>SUMIF('Keyword Results'!$A:$A,"Finns",'Keyword Results'!$O:$O)</f>
        <v>0</v>
      </c>
      <c r="N46" s="3">
        <f>SUMIF('Keyword Results'!$A:$A,"Finns",'Keyword Results'!$P:$P)</f>
        <v>0</v>
      </c>
      <c r="O46" s="3">
        <f>SUMIF('Keyword Results'!$A:$A,"Finns",'Keyword Results'!$Q:$Q)</f>
        <v>0</v>
      </c>
      <c r="P46" s="3">
        <f>SUMIF('Keyword Results'!$A:$A,"Finns",'Keyword Results'!$R:$R)</f>
        <v>0</v>
      </c>
      <c r="Q46" s="3">
        <f>SUMIF('Keyword Results'!$A:$A,"Finns",'Keyword Results'!$S:$S)</f>
        <v>0</v>
      </c>
      <c r="R46" s="3">
        <f>SUMIF('Keyword Results'!$A:$A,"Finns",'Keyword Results'!$T:$T)</f>
        <v>0</v>
      </c>
      <c r="S46" s="3">
        <f>SUMIF('Keyword Results'!$A:$A,"Finns",'Keyword Results'!$U:$U)</f>
        <v>0</v>
      </c>
      <c r="T46" s="3">
        <f>SUMIF('Keyword Results'!$A:$A,"Finns",'Keyword Results'!$V:$V)</f>
        <v>1</v>
      </c>
      <c r="U46" s="3">
        <f>SUMIF('Keyword Results'!$A:$A,"Finns",'Keyword Results'!$W:$W)</f>
        <v>0</v>
      </c>
      <c r="V46" s="3">
        <f>SUMIF('Keyword Results'!$A:$A,"Finns",'Keyword Results'!$X:$X)</f>
        <v>0</v>
      </c>
      <c r="W46" s="3">
        <f t="shared" si="0"/>
        <v>10</v>
      </c>
    </row>
    <row r="47" spans="1:23" x14ac:dyDescent="0.2">
      <c r="A47" s="2" t="s">
        <v>74</v>
      </c>
      <c r="B47" s="3">
        <f>SUMIF('Keyword Results'!$A:$A,"French_people",'Keyword Results'!$D:$D)</f>
        <v>6</v>
      </c>
      <c r="C47" s="3">
        <f>SUMIF('Keyword Results'!$A:$A,"French_people",'Keyword Results'!$E:$E)</f>
        <v>4</v>
      </c>
      <c r="D47" s="3">
        <f>SUMIF('Keyword Results'!$A:$A,"French_people",'Keyword Results'!$F:$F)</f>
        <v>0</v>
      </c>
      <c r="E47" s="3">
        <f>SUMIF('Keyword Results'!$A:$A,"French_people",'Keyword Results'!$G:$G)</f>
        <v>0</v>
      </c>
      <c r="F47" s="3">
        <f>SUMIF('Keyword Results'!$A:$A,"French_people",'Keyword Results'!$H:$H)</f>
        <v>0</v>
      </c>
      <c r="G47" s="3">
        <f>SUMIF('Keyword Results'!$A:$A,"French_people",'Keyword Results'!$I:$I)</f>
        <v>0</v>
      </c>
      <c r="H47" s="3">
        <f>SUMIF('Keyword Results'!$A:$A,"French_people",'Keyword Results'!$J:$J)</f>
        <v>0</v>
      </c>
      <c r="I47" s="3">
        <f>SUMIF('Keyword Results'!$A:$A,"French_people",'Keyword Results'!$K:$K)</f>
        <v>0</v>
      </c>
      <c r="J47" s="3">
        <f>SUMIF('Keyword Results'!$A:$A,"French_people",'Keyword Results'!$L:$L)</f>
        <v>0</v>
      </c>
      <c r="K47" s="3">
        <f>SUMIF('Keyword Results'!$A:$A,"French_people",'Keyword Results'!$M:$M)</f>
        <v>0</v>
      </c>
      <c r="L47" s="3">
        <f>SUMIF('Keyword Results'!$A:$A,"French_people",'Keyword Results'!$N:$N)</f>
        <v>0</v>
      </c>
      <c r="M47" s="3">
        <f>SUMIF('Keyword Results'!$A:$A,"French_people",'Keyword Results'!$O:$O)</f>
        <v>0</v>
      </c>
      <c r="N47" s="3">
        <f>SUMIF('Keyword Results'!$A:$A,"French_people",'Keyword Results'!$P:$P)</f>
        <v>0</v>
      </c>
      <c r="O47" s="3">
        <f>SUMIF('Keyword Results'!$A:$A,"French_people",'Keyword Results'!$Q:$Q)</f>
        <v>0</v>
      </c>
      <c r="P47" s="3">
        <f>SUMIF('Keyword Results'!$A:$A,"French_people",'Keyword Results'!$R:$R)</f>
        <v>0</v>
      </c>
      <c r="Q47" s="3">
        <f>SUMIF('Keyword Results'!$A:$A,"French_people",'Keyword Results'!$S:$S)</f>
        <v>0</v>
      </c>
      <c r="R47" s="3">
        <f>SUMIF('Keyword Results'!$A:$A,"French_people",'Keyword Results'!$T:$T)</f>
        <v>0</v>
      </c>
      <c r="S47" s="3">
        <f>SUMIF('Keyword Results'!$A:$A,"French_people",'Keyword Results'!$U:$U)</f>
        <v>0</v>
      </c>
      <c r="T47" s="3">
        <f>SUMIF('Keyword Results'!$A:$A,"French_people",'Keyword Results'!$V:$V)</f>
        <v>0</v>
      </c>
      <c r="U47" s="3">
        <f>SUMIF('Keyword Results'!$A:$A,"French_people",'Keyword Results'!$W:$W)</f>
        <v>0</v>
      </c>
      <c r="V47" s="3">
        <f>SUMIF('Keyword Results'!$A:$A,"French_people",'Keyword Results'!$X:$X)</f>
        <v>0</v>
      </c>
      <c r="W47" s="3">
        <f t="shared" si="0"/>
        <v>4</v>
      </c>
    </row>
    <row r="48" spans="1:23" x14ac:dyDescent="0.2">
      <c r="A48" s="2" t="s">
        <v>75</v>
      </c>
      <c r="B48" s="3">
        <f>SUMIF('Keyword Results'!$A:$A,"Georgians",'Keyword Results'!$D:$D)</f>
        <v>7</v>
      </c>
      <c r="C48" s="3">
        <f>SUMIF('Keyword Results'!$A:$A,"Georgians",'Keyword Results'!$E:$E)</f>
        <v>0</v>
      </c>
      <c r="D48" s="3">
        <f>SUMIF('Keyword Results'!$A:$A,"Georgians",'Keyword Results'!$F:$F)</f>
        <v>0</v>
      </c>
      <c r="E48" s="3">
        <f>SUMIF('Keyword Results'!$A:$A,"Georgians",'Keyword Results'!$G:$G)</f>
        <v>0</v>
      </c>
      <c r="F48" s="3">
        <f>SUMIF('Keyword Results'!$A:$A,"Georgians",'Keyword Results'!$H:$H)</f>
        <v>0</v>
      </c>
      <c r="G48" s="3">
        <f>SUMIF('Keyword Results'!$A:$A,"Georgians",'Keyword Results'!$I:$I)</f>
        <v>0</v>
      </c>
      <c r="H48" s="3">
        <f>SUMIF('Keyword Results'!$A:$A,"Georgians",'Keyword Results'!$J:$J)</f>
        <v>0</v>
      </c>
      <c r="I48" s="3">
        <f>SUMIF('Keyword Results'!$A:$A,"Georgians",'Keyword Results'!$K:$K)</f>
        <v>0</v>
      </c>
      <c r="J48" s="3">
        <f>SUMIF('Keyword Results'!$A:$A,"Georgians",'Keyword Results'!$L:$L)</f>
        <v>0</v>
      </c>
      <c r="K48" s="3">
        <f>SUMIF('Keyword Results'!$A:$A,"Georgians",'Keyword Results'!$M:$M)</f>
        <v>0</v>
      </c>
      <c r="L48" s="3">
        <f>SUMIF('Keyword Results'!$A:$A,"Georgians",'Keyword Results'!$N:$N)</f>
        <v>0</v>
      </c>
      <c r="M48" s="3">
        <f>SUMIF('Keyword Results'!$A:$A,"Georgians",'Keyword Results'!$O:$O)</f>
        <v>0</v>
      </c>
      <c r="N48" s="3">
        <f>SUMIF('Keyword Results'!$A:$A,"Georgians",'Keyword Results'!$P:$P)</f>
        <v>0</v>
      </c>
      <c r="O48" s="3">
        <f>SUMIF('Keyword Results'!$A:$A,"Georgians",'Keyword Results'!$Q:$Q)</f>
        <v>0</v>
      </c>
      <c r="P48" s="3">
        <f>SUMIF('Keyword Results'!$A:$A,"Georgians",'Keyword Results'!$R:$R)</f>
        <v>0</v>
      </c>
      <c r="Q48" s="3">
        <f>SUMIF('Keyword Results'!$A:$A,"Georgians",'Keyword Results'!$S:$S)</f>
        <v>0</v>
      </c>
      <c r="R48" s="3">
        <f>SUMIF('Keyword Results'!$A:$A,"Georgians",'Keyword Results'!$T:$T)</f>
        <v>0</v>
      </c>
      <c r="S48" s="3">
        <f>SUMIF('Keyword Results'!$A:$A,"Georgians",'Keyword Results'!$U:$U)</f>
        <v>0</v>
      </c>
      <c r="T48" s="3">
        <f>SUMIF('Keyword Results'!$A:$A,"Georgians",'Keyword Results'!$V:$V)</f>
        <v>0</v>
      </c>
      <c r="U48" s="3">
        <f>SUMIF('Keyword Results'!$A:$A,"Georgians",'Keyword Results'!$W:$W)</f>
        <v>0</v>
      </c>
      <c r="V48" s="3">
        <f>SUMIF('Keyword Results'!$A:$A,"Georgians",'Keyword Results'!$X:$X)</f>
        <v>0</v>
      </c>
      <c r="W48" s="3">
        <f t="shared" si="0"/>
        <v>0</v>
      </c>
    </row>
    <row r="49" spans="1:23" x14ac:dyDescent="0.2">
      <c r="A49" s="2" t="s">
        <v>76</v>
      </c>
      <c r="B49" s="3">
        <f>SUMIF('Keyword Results'!$A:$A,"Germans",'Keyword Results'!$D:$D)</f>
        <v>8</v>
      </c>
      <c r="C49" s="3">
        <f>SUMIF('Keyword Results'!$A:$A,"Germans",'Keyword Results'!$E:$E)</f>
        <v>0</v>
      </c>
      <c r="D49" s="3">
        <f>SUMIF('Keyword Results'!$A:$A,"Germans",'Keyword Results'!$F:$F)</f>
        <v>0</v>
      </c>
      <c r="E49" s="3">
        <f>SUMIF('Keyword Results'!$A:$A,"Germans",'Keyword Results'!$G:$G)</f>
        <v>0</v>
      </c>
      <c r="F49" s="3">
        <f>SUMIF('Keyword Results'!$A:$A,"Germans",'Keyword Results'!$H:$H)</f>
        <v>0</v>
      </c>
      <c r="G49" s="3">
        <f>SUMIF('Keyword Results'!$A:$A,"Germans",'Keyword Results'!$I:$I)</f>
        <v>0</v>
      </c>
      <c r="H49" s="3">
        <f>SUMIF('Keyword Results'!$A:$A,"Germans",'Keyword Results'!$J:$J)</f>
        <v>0</v>
      </c>
      <c r="I49" s="3">
        <f>SUMIF('Keyword Results'!$A:$A,"Germans",'Keyword Results'!$K:$K)</f>
        <v>0</v>
      </c>
      <c r="J49" s="3">
        <f>SUMIF('Keyword Results'!$A:$A,"Germans",'Keyword Results'!$L:$L)</f>
        <v>0</v>
      </c>
      <c r="K49" s="3">
        <f>SUMIF('Keyword Results'!$A:$A,"Germans",'Keyword Results'!$M:$M)</f>
        <v>0</v>
      </c>
      <c r="L49" s="3">
        <f>SUMIF('Keyword Results'!$A:$A,"Germans",'Keyword Results'!$N:$N)</f>
        <v>0</v>
      </c>
      <c r="M49" s="3">
        <f>SUMIF('Keyword Results'!$A:$A,"Germans",'Keyword Results'!$O:$O)</f>
        <v>0</v>
      </c>
      <c r="N49" s="3">
        <f>SUMIF('Keyword Results'!$A:$A,"Germans",'Keyword Results'!$P:$P)</f>
        <v>0</v>
      </c>
      <c r="O49" s="3">
        <f>SUMIF('Keyword Results'!$A:$A,"Germans",'Keyword Results'!$Q:$Q)</f>
        <v>0</v>
      </c>
      <c r="P49" s="3">
        <f>SUMIF('Keyword Results'!$A:$A,"Germans",'Keyword Results'!$R:$R)</f>
        <v>0</v>
      </c>
      <c r="Q49" s="3">
        <f>SUMIF('Keyword Results'!$A:$A,"Germans",'Keyword Results'!$S:$S)</f>
        <v>0</v>
      </c>
      <c r="R49" s="3">
        <f>SUMIF('Keyword Results'!$A:$A,"Germans",'Keyword Results'!$T:$T)</f>
        <v>0</v>
      </c>
      <c r="S49" s="3">
        <f>SUMIF('Keyword Results'!$A:$A,"Germans",'Keyword Results'!$U:$U)</f>
        <v>0</v>
      </c>
      <c r="T49" s="3">
        <f>SUMIF('Keyword Results'!$A:$A,"Germans",'Keyword Results'!$V:$V)</f>
        <v>0</v>
      </c>
      <c r="U49" s="3">
        <f>SUMIF('Keyword Results'!$A:$A,"Germans",'Keyword Results'!$W:$W)</f>
        <v>0</v>
      </c>
      <c r="V49" s="3">
        <f>SUMIF('Keyword Results'!$A:$A,"Germans",'Keyword Results'!$X:$X)</f>
        <v>0</v>
      </c>
      <c r="W49" s="3">
        <f t="shared" si="0"/>
        <v>0</v>
      </c>
    </row>
    <row r="50" spans="1:23" x14ac:dyDescent="0.2">
      <c r="A50" s="2" t="s">
        <v>77</v>
      </c>
      <c r="B50" s="3">
        <f>SUMIF('Keyword Results'!$A:$A,"Ghanaians",'Keyword Results'!$D:$D)</f>
        <v>7</v>
      </c>
      <c r="C50" s="3">
        <f>SUMIF('Keyword Results'!$A:$A,"Ghanaians",'Keyword Results'!$E:$E)</f>
        <v>0</v>
      </c>
      <c r="D50" s="3">
        <f>SUMIF('Keyword Results'!$A:$A,"Ghanaians",'Keyword Results'!$F:$F)</f>
        <v>0</v>
      </c>
      <c r="E50" s="3">
        <f>SUMIF('Keyword Results'!$A:$A,"Ghanaians",'Keyword Results'!$G:$G)</f>
        <v>0</v>
      </c>
      <c r="F50" s="3">
        <f>SUMIF('Keyword Results'!$A:$A,"Ghanaians",'Keyword Results'!$H:$H)</f>
        <v>0</v>
      </c>
      <c r="G50" s="3">
        <f>SUMIF('Keyword Results'!$A:$A,"Ghanaians",'Keyword Results'!$I:$I)</f>
        <v>0</v>
      </c>
      <c r="H50" s="3">
        <f>SUMIF('Keyword Results'!$A:$A,"Ghanaians",'Keyword Results'!$J:$J)</f>
        <v>0</v>
      </c>
      <c r="I50" s="3">
        <f>SUMIF('Keyword Results'!$A:$A,"Ghanaians",'Keyword Results'!$K:$K)</f>
        <v>0</v>
      </c>
      <c r="J50" s="3">
        <f>SUMIF('Keyword Results'!$A:$A,"Ghanaians",'Keyword Results'!$L:$L)</f>
        <v>0</v>
      </c>
      <c r="K50" s="3">
        <f>SUMIF('Keyword Results'!$A:$A,"Ghanaians",'Keyword Results'!$M:$M)</f>
        <v>0</v>
      </c>
      <c r="L50" s="3">
        <f>SUMIF('Keyword Results'!$A:$A,"Ghanaians",'Keyword Results'!$N:$N)</f>
        <v>0</v>
      </c>
      <c r="M50" s="3">
        <f>SUMIF('Keyword Results'!$A:$A,"Ghanaians",'Keyword Results'!$O:$O)</f>
        <v>0</v>
      </c>
      <c r="N50" s="3">
        <f>SUMIF('Keyword Results'!$A:$A,"Ghanaians",'Keyword Results'!$P:$P)</f>
        <v>0</v>
      </c>
      <c r="O50" s="3">
        <f>SUMIF('Keyword Results'!$A:$A,"Ghanaians",'Keyword Results'!$Q:$Q)</f>
        <v>0</v>
      </c>
      <c r="P50" s="3">
        <f>SUMIF('Keyword Results'!$A:$A,"Ghanaians",'Keyword Results'!$R:$R)</f>
        <v>0</v>
      </c>
      <c r="Q50" s="3">
        <f>SUMIF('Keyword Results'!$A:$A,"Ghanaians",'Keyword Results'!$S:$S)</f>
        <v>0</v>
      </c>
      <c r="R50" s="3">
        <f>SUMIF('Keyword Results'!$A:$A,"Ghanaians",'Keyword Results'!$T:$T)</f>
        <v>0</v>
      </c>
      <c r="S50" s="3">
        <f>SUMIF('Keyword Results'!$A:$A,"Ghanaians",'Keyword Results'!$U:$U)</f>
        <v>0</v>
      </c>
      <c r="T50" s="3">
        <f>SUMIF('Keyword Results'!$A:$A,"Ghanaians",'Keyword Results'!$V:$V)</f>
        <v>0</v>
      </c>
      <c r="U50" s="3">
        <f>SUMIF('Keyword Results'!$A:$A,"Ghanaians",'Keyword Results'!$W:$W)</f>
        <v>0</v>
      </c>
      <c r="V50" s="3">
        <f>SUMIF('Keyword Results'!$A:$A,"Ghanaians",'Keyword Results'!$X:$X)</f>
        <v>0</v>
      </c>
      <c r="W50" s="3">
        <f t="shared" si="0"/>
        <v>0</v>
      </c>
    </row>
    <row r="51" spans="1:23" x14ac:dyDescent="0.2">
      <c r="A51" s="2" t="s">
        <v>78</v>
      </c>
      <c r="B51" s="3">
        <f>SUMIF('Keyword Results'!$A:$A,"Greeks",'Keyword Results'!$D:$D)</f>
        <v>6</v>
      </c>
      <c r="C51" s="3">
        <f>SUMIF('Keyword Results'!$A:$A,"Greeks",'Keyword Results'!$E:$E)</f>
        <v>0</v>
      </c>
      <c r="D51" s="3">
        <f>SUMIF('Keyword Results'!$A:$A,"Greeks",'Keyword Results'!$F:$F)</f>
        <v>0</v>
      </c>
      <c r="E51" s="3">
        <f>SUMIF('Keyword Results'!$A:$A,"Greeks",'Keyword Results'!$G:$G)</f>
        <v>0</v>
      </c>
      <c r="F51" s="3">
        <f>SUMIF('Keyword Results'!$A:$A,"Greeks",'Keyword Results'!$H:$H)</f>
        <v>0</v>
      </c>
      <c r="G51" s="3">
        <f>SUMIF('Keyword Results'!$A:$A,"Greeks",'Keyword Results'!$I:$I)</f>
        <v>0</v>
      </c>
      <c r="H51" s="3">
        <f>SUMIF('Keyword Results'!$A:$A,"Greeks",'Keyword Results'!$J:$J)</f>
        <v>0</v>
      </c>
      <c r="I51" s="3">
        <f>SUMIF('Keyword Results'!$A:$A,"Greeks",'Keyword Results'!$K:$K)</f>
        <v>0</v>
      </c>
      <c r="J51" s="3">
        <f>SUMIF('Keyword Results'!$A:$A,"Greeks",'Keyword Results'!$L:$L)</f>
        <v>0</v>
      </c>
      <c r="K51" s="3">
        <f>SUMIF('Keyword Results'!$A:$A,"Greeks",'Keyword Results'!$M:$M)</f>
        <v>0</v>
      </c>
      <c r="L51" s="3">
        <f>SUMIF('Keyword Results'!$A:$A,"Greeks",'Keyword Results'!$N:$N)</f>
        <v>0</v>
      </c>
      <c r="M51" s="3">
        <f>SUMIF('Keyword Results'!$A:$A,"Greeks",'Keyword Results'!$O:$O)</f>
        <v>0</v>
      </c>
      <c r="N51" s="3">
        <f>SUMIF('Keyword Results'!$A:$A,"Greeks",'Keyword Results'!$P:$P)</f>
        <v>0</v>
      </c>
      <c r="O51" s="3">
        <f>SUMIF('Keyword Results'!$A:$A,"Greeks",'Keyword Results'!$Q:$Q)</f>
        <v>0</v>
      </c>
      <c r="P51" s="3">
        <f>SUMIF('Keyword Results'!$A:$A,"Greeks",'Keyword Results'!$R:$R)</f>
        <v>0</v>
      </c>
      <c r="Q51" s="3">
        <f>SUMIF('Keyword Results'!$A:$A,"Greeks",'Keyword Results'!$S:$S)</f>
        <v>0</v>
      </c>
      <c r="R51" s="3">
        <f>SUMIF('Keyword Results'!$A:$A,"Greeks",'Keyword Results'!$T:$T)</f>
        <v>0</v>
      </c>
      <c r="S51" s="3">
        <f>SUMIF('Keyword Results'!$A:$A,"Greeks",'Keyword Results'!$U:$U)</f>
        <v>0</v>
      </c>
      <c r="T51" s="3">
        <f>SUMIF('Keyword Results'!$A:$A,"Greeks",'Keyword Results'!$V:$V)</f>
        <v>0</v>
      </c>
      <c r="U51" s="3">
        <f>SUMIF('Keyword Results'!$A:$A,"Greeks",'Keyword Results'!$W:$W)</f>
        <v>0</v>
      </c>
      <c r="V51" s="3">
        <f>SUMIF('Keyword Results'!$A:$A,"Greeks",'Keyword Results'!$X:$X)</f>
        <v>0</v>
      </c>
      <c r="W51" s="3">
        <f t="shared" si="0"/>
        <v>0</v>
      </c>
    </row>
    <row r="52" spans="1:23" x14ac:dyDescent="0.2">
      <c r="A52" s="2" t="s">
        <v>79</v>
      </c>
      <c r="B52" s="3">
        <f>SUMIF('Keyword Results'!$A:$A,"Guatemalans",'Keyword Results'!$D:$D)</f>
        <v>7</v>
      </c>
      <c r="C52" s="3">
        <f>SUMIF('Keyword Results'!$A:$A,"Guatemalans",'Keyword Results'!$E:$E)</f>
        <v>0</v>
      </c>
      <c r="D52" s="3">
        <f>SUMIF('Keyword Results'!$A:$A,"Guatemalans",'Keyword Results'!$F:$F)</f>
        <v>0</v>
      </c>
      <c r="E52" s="3">
        <f>SUMIF('Keyword Results'!$A:$A,"Guatemalans",'Keyword Results'!$G:$G)</f>
        <v>0</v>
      </c>
      <c r="F52" s="3">
        <f>SUMIF('Keyword Results'!$A:$A,"Guatemalans",'Keyword Results'!$H:$H)</f>
        <v>0</v>
      </c>
      <c r="G52" s="3">
        <f>SUMIF('Keyword Results'!$A:$A,"Guatemalans",'Keyword Results'!$I:$I)</f>
        <v>0</v>
      </c>
      <c r="H52" s="3">
        <f>SUMIF('Keyword Results'!$A:$A,"Guatemalans",'Keyword Results'!$J:$J)</f>
        <v>0</v>
      </c>
      <c r="I52" s="3">
        <f>SUMIF('Keyword Results'!$A:$A,"Guatemalans",'Keyword Results'!$K:$K)</f>
        <v>0</v>
      </c>
      <c r="J52" s="3">
        <f>SUMIF('Keyword Results'!$A:$A,"Guatemalans",'Keyword Results'!$L:$L)</f>
        <v>0</v>
      </c>
      <c r="K52" s="3">
        <f>SUMIF('Keyword Results'!$A:$A,"Guatemalans",'Keyword Results'!$M:$M)</f>
        <v>0</v>
      </c>
      <c r="L52" s="3">
        <f>SUMIF('Keyword Results'!$A:$A,"Guatemalans",'Keyword Results'!$N:$N)</f>
        <v>0</v>
      </c>
      <c r="M52" s="3">
        <f>SUMIF('Keyword Results'!$A:$A,"Guatemalans",'Keyword Results'!$O:$O)</f>
        <v>0</v>
      </c>
      <c r="N52" s="3">
        <f>SUMIF('Keyword Results'!$A:$A,"Guatemalans",'Keyword Results'!$P:$P)</f>
        <v>0</v>
      </c>
      <c r="O52" s="3">
        <f>SUMIF('Keyword Results'!$A:$A,"Guatemalans",'Keyword Results'!$Q:$Q)</f>
        <v>0</v>
      </c>
      <c r="P52" s="3">
        <f>SUMIF('Keyword Results'!$A:$A,"Guatemalans",'Keyword Results'!$R:$R)</f>
        <v>0</v>
      </c>
      <c r="Q52" s="3">
        <f>SUMIF('Keyword Results'!$A:$A,"Guatemalans",'Keyword Results'!$S:$S)</f>
        <v>0</v>
      </c>
      <c r="R52" s="3">
        <f>SUMIF('Keyword Results'!$A:$A,"Guatemalans",'Keyword Results'!$T:$T)</f>
        <v>0</v>
      </c>
      <c r="S52" s="3">
        <f>SUMIF('Keyword Results'!$A:$A,"Guatemalans",'Keyword Results'!$U:$U)</f>
        <v>0</v>
      </c>
      <c r="T52" s="3">
        <f>SUMIF('Keyword Results'!$A:$A,"Guatemalans",'Keyword Results'!$V:$V)</f>
        <v>0</v>
      </c>
      <c r="U52" s="3">
        <f>SUMIF('Keyword Results'!$A:$A,"Guatemalans",'Keyword Results'!$W:$W)</f>
        <v>0</v>
      </c>
      <c r="V52" s="3">
        <f>SUMIF('Keyword Results'!$A:$A,"Guatemalans",'Keyword Results'!$X:$X)</f>
        <v>0</v>
      </c>
      <c r="W52" s="3">
        <f t="shared" si="0"/>
        <v>0</v>
      </c>
    </row>
    <row r="53" spans="1:23" x14ac:dyDescent="0.2">
      <c r="A53" s="2" t="s">
        <v>80</v>
      </c>
      <c r="B53" s="3">
        <f>SUMIF('Keyword Results'!$A:$A,"Guyanese_people",'Keyword Results'!$D:$D)</f>
        <v>6</v>
      </c>
      <c r="C53" s="3">
        <f>SUMIF('Keyword Results'!$A:$A,"Guyanese_people",'Keyword Results'!$E:$E)</f>
        <v>0</v>
      </c>
      <c r="D53" s="3">
        <f>SUMIF('Keyword Results'!$A:$A,"Guyanese_people",'Keyword Results'!$F:$F)</f>
        <v>0</v>
      </c>
      <c r="E53" s="3">
        <f>SUMIF('Keyword Results'!$A:$A,"Guyanese_people",'Keyword Results'!$G:$G)</f>
        <v>0</v>
      </c>
      <c r="F53" s="3">
        <f>SUMIF('Keyword Results'!$A:$A,"Guyanese_people",'Keyword Results'!$H:$H)</f>
        <v>0</v>
      </c>
      <c r="G53" s="3">
        <f>SUMIF('Keyword Results'!$A:$A,"Guyanese_people",'Keyword Results'!$I:$I)</f>
        <v>0</v>
      </c>
      <c r="H53" s="3">
        <f>SUMIF('Keyword Results'!$A:$A,"Guyanese_people",'Keyword Results'!$J:$J)</f>
        <v>0</v>
      </c>
      <c r="I53" s="3">
        <f>SUMIF('Keyword Results'!$A:$A,"Guyanese_people",'Keyword Results'!$K:$K)</f>
        <v>0</v>
      </c>
      <c r="J53" s="3">
        <f>SUMIF('Keyword Results'!$A:$A,"Guyanese_people",'Keyword Results'!$L:$L)</f>
        <v>0</v>
      </c>
      <c r="K53" s="3">
        <f>SUMIF('Keyword Results'!$A:$A,"Guyanese_people",'Keyword Results'!$M:$M)</f>
        <v>0</v>
      </c>
      <c r="L53" s="3">
        <f>SUMIF('Keyword Results'!$A:$A,"Guyanese_people",'Keyword Results'!$N:$N)</f>
        <v>0</v>
      </c>
      <c r="M53" s="3">
        <f>SUMIF('Keyword Results'!$A:$A,"Guyanese_people",'Keyword Results'!$O:$O)</f>
        <v>0</v>
      </c>
      <c r="N53" s="3">
        <f>SUMIF('Keyword Results'!$A:$A,"Guyanese_people",'Keyword Results'!$P:$P)</f>
        <v>0</v>
      </c>
      <c r="O53" s="3">
        <f>SUMIF('Keyword Results'!$A:$A,"Guyanese_people",'Keyword Results'!$Q:$Q)</f>
        <v>0</v>
      </c>
      <c r="P53" s="3">
        <f>SUMIF('Keyword Results'!$A:$A,"Guyanese_people",'Keyword Results'!$R:$R)</f>
        <v>0</v>
      </c>
      <c r="Q53" s="3">
        <f>SUMIF('Keyword Results'!$A:$A,"Guyanese_people",'Keyword Results'!$S:$S)</f>
        <v>0</v>
      </c>
      <c r="R53" s="3">
        <f>SUMIF('Keyword Results'!$A:$A,"Guyanese_people",'Keyword Results'!$T:$T)</f>
        <v>0</v>
      </c>
      <c r="S53" s="3">
        <f>SUMIF('Keyword Results'!$A:$A,"Guyanese_people",'Keyword Results'!$U:$U)</f>
        <v>0</v>
      </c>
      <c r="T53" s="3">
        <f>SUMIF('Keyword Results'!$A:$A,"Guyanese_people",'Keyword Results'!$V:$V)</f>
        <v>0</v>
      </c>
      <c r="U53" s="3">
        <f>SUMIF('Keyword Results'!$A:$A,"Guyanese_people",'Keyword Results'!$W:$W)</f>
        <v>0</v>
      </c>
      <c r="V53" s="3">
        <f>SUMIF('Keyword Results'!$A:$A,"Guyanese_people",'Keyword Results'!$X:$X)</f>
        <v>0</v>
      </c>
      <c r="W53" s="3">
        <f t="shared" si="0"/>
        <v>0</v>
      </c>
    </row>
    <row r="54" spans="1:23" x14ac:dyDescent="0.2">
      <c r="A54" s="2" t="s">
        <v>81</v>
      </c>
      <c r="B54" s="3">
        <f>SUMIF('Keyword Results'!$A:$A,"Haitians",'Keyword Results'!$D:$D)</f>
        <v>8</v>
      </c>
      <c r="C54" s="3">
        <f>SUMIF('Keyword Results'!$A:$A,"Haitians",'Keyword Results'!$E:$E)</f>
        <v>0</v>
      </c>
      <c r="D54" s="3">
        <f>SUMIF('Keyword Results'!$A:$A,"Haitians",'Keyword Results'!$F:$F)</f>
        <v>0</v>
      </c>
      <c r="E54" s="3">
        <f>SUMIF('Keyword Results'!$A:$A,"Haitians",'Keyword Results'!$G:$G)</f>
        <v>0</v>
      </c>
      <c r="F54" s="3">
        <f>SUMIF('Keyword Results'!$A:$A,"Haitians",'Keyword Results'!$H:$H)</f>
        <v>0</v>
      </c>
      <c r="G54" s="3">
        <f>SUMIF('Keyword Results'!$A:$A,"Haitians",'Keyword Results'!$I:$I)</f>
        <v>0</v>
      </c>
      <c r="H54" s="3">
        <f>SUMIF('Keyword Results'!$A:$A,"Haitians",'Keyword Results'!$J:$J)</f>
        <v>0</v>
      </c>
      <c r="I54" s="3">
        <f>SUMIF('Keyword Results'!$A:$A,"Haitians",'Keyword Results'!$K:$K)</f>
        <v>0</v>
      </c>
      <c r="J54" s="3">
        <f>SUMIF('Keyword Results'!$A:$A,"Haitians",'Keyword Results'!$L:$L)</f>
        <v>0</v>
      </c>
      <c r="K54" s="3">
        <f>SUMIF('Keyword Results'!$A:$A,"Haitians",'Keyword Results'!$M:$M)</f>
        <v>0</v>
      </c>
      <c r="L54" s="3">
        <f>SUMIF('Keyword Results'!$A:$A,"Haitians",'Keyword Results'!$N:$N)</f>
        <v>0</v>
      </c>
      <c r="M54" s="3">
        <f>SUMIF('Keyword Results'!$A:$A,"Haitians",'Keyword Results'!$O:$O)</f>
        <v>0</v>
      </c>
      <c r="N54" s="3">
        <f>SUMIF('Keyword Results'!$A:$A,"Haitians",'Keyword Results'!$P:$P)</f>
        <v>0</v>
      </c>
      <c r="O54" s="3">
        <f>SUMIF('Keyword Results'!$A:$A,"Haitians",'Keyword Results'!$Q:$Q)</f>
        <v>0</v>
      </c>
      <c r="P54" s="3">
        <f>SUMIF('Keyword Results'!$A:$A,"Haitians",'Keyword Results'!$R:$R)</f>
        <v>0</v>
      </c>
      <c r="Q54" s="3">
        <f>SUMIF('Keyword Results'!$A:$A,"Haitians",'Keyword Results'!$S:$S)</f>
        <v>0</v>
      </c>
      <c r="R54" s="3">
        <f>SUMIF('Keyword Results'!$A:$A,"Haitians",'Keyword Results'!$T:$T)</f>
        <v>0</v>
      </c>
      <c r="S54" s="3">
        <f>SUMIF('Keyword Results'!$A:$A,"Haitians",'Keyword Results'!$U:$U)</f>
        <v>0</v>
      </c>
      <c r="T54" s="3">
        <f>SUMIF('Keyword Results'!$A:$A,"Haitians",'Keyword Results'!$V:$V)</f>
        <v>0</v>
      </c>
      <c r="U54" s="3">
        <f>SUMIF('Keyword Results'!$A:$A,"Haitians",'Keyword Results'!$W:$W)</f>
        <v>0</v>
      </c>
      <c r="V54" s="3">
        <f>SUMIF('Keyword Results'!$A:$A,"Haitians",'Keyword Results'!$X:$X)</f>
        <v>0</v>
      </c>
      <c r="W54" s="3">
        <f t="shared" si="0"/>
        <v>0</v>
      </c>
    </row>
    <row r="55" spans="1:23" x14ac:dyDescent="0.2">
      <c r="A55" s="2" t="s">
        <v>82</v>
      </c>
      <c r="B55" s="3">
        <f>SUMIF('Keyword Results'!$A:$A,"Hondurans",'Keyword Results'!$D:$D)</f>
        <v>8</v>
      </c>
      <c r="C55" s="3">
        <f>SUMIF('Keyword Results'!$A:$A,"Hondurans",'Keyword Results'!$E:$E)</f>
        <v>0</v>
      </c>
      <c r="D55" s="3">
        <f>SUMIF('Keyword Results'!$A:$A,"Hondurans",'Keyword Results'!$F:$F)</f>
        <v>0</v>
      </c>
      <c r="E55" s="3">
        <f>SUMIF('Keyword Results'!$A:$A,"Hondurans",'Keyword Results'!$G:$G)</f>
        <v>0</v>
      </c>
      <c r="F55" s="3">
        <f>SUMIF('Keyword Results'!$A:$A,"Hondurans",'Keyword Results'!$H:$H)</f>
        <v>0</v>
      </c>
      <c r="G55" s="3">
        <f>SUMIF('Keyword Results'!$A:$A,"Hondurans",'Keyword Results'!$I:$I)</f>
        <v>0</v>
      </c>
      <c r="H55" s="3">
        <f>SUMIF('Keyword Results'!$A:$A,"Hondurans",'Keyword Results'!$J:$J)</f>
        <v>0</v>
      </c>
      <c r="I55" s="3">
        <f>SUMIF('Keyword Results'!$A:$A,"Hondurans",'Keyword Results'!$K:$K)</f>
        <v>0</v>
      </c>
      <c r="J55" s="3">
        <f>SUMIF('Keyword Results'!$A:$A,"Hondurans",'Keyword Results'!$L:$L)</f>
        <v>0</v>
      </c>
      <c r="K55" s="3">
        <f>SUMIF('Keyword Results'!$A:$A,"Hondurans",'Keyword Results'!$M:$M)</f>
        <v>0</v>
      </c>
      <c r="L55" s="3">
        <f>SUMIF('Keyword Results'!$A:$A,"Hondurans",'Keyword Results'!$N:$N)</f>
        <v>0</v>
      </c>
      <c r="M55" s="3">
        <f>SUMIF('Keyword Results'!$A:$A,"Hondurans",'Keyword Results'!$O:$O)</f>
        <v>0</v>
      </c>
      <c r="N55" s="3">
        <f>SUMIF('Keyword Results'!$A:$A,"Hondurans",'Keyword Results'!$P:$P)</f>
        <v>0</v>
      </c>
      <c r="O55" s="3">
        <f>SUMIF('Keyword Results'!$A:$A,"Hondurans",'Keyword Results'!$Q:$Q)</f>
        <v>0</v>
      </c>
      <c r="P55" s="3">
        <f>SUMIF('Keyword Results'!$A:$A,"Hondurans",'Keyword Results'!$R:$R)</f>
        <v>0</v>
      </c>
      <c r="Q55" s="3">
        <f>SUMIF('Keyword Results'!$A:$A,"Hondurans",'Keyword Results'!$S:$S)</f>
        <v>0</v>
      </c>
      <c r="R55" s="3">
        <f>SUMIF('Keyword Results'!$A:$A,"Hondurans",'Keyword Results'!$T:$T)</f>
        <v>0</v>
      </c>
      <c r="S55" s="3">
        <f>SUMIF('Keyword Results'!$A:$A,"Hondurans",'Keyword Results'!$U:$U)</f>
        <v>0</v>
      </c>
      <c r="T55" s="3">
        <f>SUMIF('Keyword Results'!$A:$A,"Hondurans",'Keyword Results'!$V:$V)</f>
        <v>0</v>
      </c>
      <c r="U55" s="3">
        <f>SUMIF('Keyword Results'!$A:$A,"Hondurans",'Keyword Results'!$W:$W)</f>
        <v>0</v>
      </c>
      <c r="V55" s="3">
        <f>SUMIF('Keyword Results'!$A:$A,"Hondurans",'Keyword Results'!$X:$X)</f>
        <v>0</v>
      </c>
      <c r="W55" s="3">
        <f t="shared" si="0"/>
        <v>0</v>
      </c>
    </row>
    <row r="56" spans="1:23" x14ac:dyDescent="0.2">
      <c r="A56" s="2" t="s">
        <v>83</v>
      </c>
      <c r="B56" s="3">
        <f>SUMIF('Keyword Results'!$A:$A,"Hungarians",'Keyword Results'!$D:$D)</f>
        <v>10</v>
      </c>
      <c r="C56" s="3">
        <f>SUMIF('Keyword Results'!$A:$A,"Hungarians",'Keyword Results'!$E:$E)</f>
        <v>1</v>
      </c>
      <c r="D56" s="3">
        <f>SUMIF('Keyword Results'!$A:$A,"Hungarians",'Keyword Results'!$F:$F)</f>
        <v>0</v>
      </c>
      <c r="E56" s="3">
        <f>SUMIF('Keyword Results'!$A:$A,"Hungarians",'Keyword Results'!$G:$G)</f>
        <v>0</v>
      </c>
      <c r="F56" s="3">
        <f>SUMIF('Keyword Results'!$A:$A,"Hungarians",'Keyword Results'!$H:$H)</f>
        <v>0</v>
      </c>
      <c r="G56" s="3">
        <f>SUMIF('Keyword Results'!$A:$A,"Hungarians",'Keyword Results'!$I:$I)</f>
        <v>0</v>
      </c>
      <c r="H56" s="3">
        <f>SUMIF('Keyword Results'!$A:$A,"Hungarians",'Keyword Results'!$J:$J)</f>
        <v>0</v>
      </c>
      <c r="I56" s="3">
        <f>SUMIF('Keyword Results'!$A:$A,"Hungarians",'Keyword Results'!$K:$K)</f>
        <v>0</v>
      </c>
      <c r="J56" s="3">
        <f>SUMIF('Keyword Results'!$A:$A,"Hungarians",'Keyword Results'!$L:$L)</f>
        <v>0</v>
      </c>
      <c r="K56" s="3">
        <f>SUMIF('Keyword Results'!$A:$A,"Hungarians",'Keyword Results'!$M:$M)</f>
        <v>0</v>
      </c>
      <c r="L56" s="3">
        <f>SUMIF('Keyword Results'!$A:$A,"Hungarians",'Keyword Results'!$N:$N)</f>
        <v>1</v>
      </c>
      <c r="M56" s="3">
        <f>SUMIF('Keyword Results'!$A:$A,"Hungarians",'Keyword Results'!$O:$O)</f>
        <v>0</v>
      </c>
      <c r="N56" s="3">
        <f>SUMIF('Keyword Results'!$A:$A,"Hungarians",'Keyword Results'!$P:$P)</f>
        <v>0</v>
      </c>
      <c r="O56" s="3">
        <f>SUMIF('Keyword Results'!$A:$A,"Hungarians",'Keyword Results'!$Q:$Q)</f>
        <v>0</v>
      </c>
      <c r="P56" s="3">
        <f>SUMIF('Keyword Results'!$A:$A,"Hungarians",'Keyword Results'!$R:$R)</f>
        <v>0</v>
      </c>
      <c r="Q56" s="3">
        <f>SUMIF('Keyword Results'!$A:$A,"Hungarians",'Keyword Results'!$S:$S)</f>
        <v>0</v>
      </c>
      <c r="R56" s="3">
        <f>SUMIF('Keyword Results'!$A:$A,"Hungarians",'Keyword Results'!$T:$T)</f>
        <v>0</v>
      </c>
      <c r="S56" s="3">
        <f>SUMIF('Keyword Results'!$A:$A,"Hungarians",'Keyword Results'!$U:$U)</f>
        <v>0</v>
      </c>
      <c r="T56" s="3">
        <f>SUMIF('Keyword Results'!$A:$A,"Hungarians",'Keyword Results'!$V:$V)</f>
        <v>0</v>
      </c>
      <c r="U56" s="3">
        <f>SUMIF('Keyword Results'!$A:$A,"Hungarians",'Keyword Results'!$W:$W)</f>
        <v>0</v>
      </c>
      <c r="V56" s="3">
        <f>SUMIF('Keyword Results'!$A:$A,"Hungarians",'Keyword Results'!$X:$X)</f>
        <v>0</v>
      </c>
      <c r="W56" s="3">
        <f t="shared" si="0"/>
        <v>2</v>
      </c>
    </row>
    <row r="57" spans="1:23" x14ac:dyDescent="0.2">
      <c r="A57" s="2" t="s">
        <v>84</v>
      </c>
      <c r="B57" s="3">
        <f>SUMIF('Keyword Results'!$A:$A,"Icelanders",'Keyword Results'!$D:$D)</f>
        <v>6</v>
      </c>
      <c r="C57" s="3">
        <f>SUMIF('Keyword Results'!$A:$A,"Icelanders",'Keyword Results'!$E:$E)</f>
        <v>4</v>
      </c>
      <c r="D57" s="3">
        <f>SUMIF('Keyword Results'!$A:$A,"Icelanders",'Keyword Results'!$F:$F)</f>
        <v>0</v>
      </c>
      <c r="E57" s="3">
        <f>SUMIF('Keyword Results'!$A:$A,"Icelanders",'Keyword Results'!$G:$G)</f>
        <v>1</v>
      </c>
      <c r="F57" s="3">
        <f>SUMIF('Keyword Results'!$A:$A,"Icelanders",'Keyword Results'!$H:$H)</f>
        <v>0</v>
      </c>
      <c r="G57" s="3">
        <f>SUMIF('Keyword Results'!$A:$A,"Icelanders",'Keyword Results'!$I:$I)</f>
        <v>0</v>
      </c>
      <c r="H57" s="3">
        <f>SUMIF('Keyword Results'!$A:$A,"Icelanders",'Keyword Results'!$J:$J)</f>
        <v>0</v>
      </c>
      <c r="I57" s="3">
        <f>SUMIF('Keyword Results'!$A:$A,"Icelanders",'Keyword Results'!$K:$K)</f>
        <v>0</v>
      </c>
      <c r="J57" s="3">
        <f>SUMIF('Keyword Results'!$A:$A,"Icelanders",'Keyword Results'!$L:$L)</f>
        <v>1</v>
      </c>
      <c r="K57" s="3">
        <f>SUMIF('Keyword Results'!$A:$A,"Icelanders",'Keyword Results'!$M:$M)</f>
        <v>0</v>
      </c>
      <c r="L57" s="3">
        <f>SUMIF('Keyword Results'!$A:$A,"Icelanders",'Keyword Results'!$N:$N)</f>
        <v>0</v>
      </c>
      <c r="M57" s="3">
        <f>SUMIF('Keyword Results'!$A:$A,"Icelanders",'Keyword Results'!$O:$O)</f>
        <v>0</v>
      </c>
      <c r="N57" s="3">
        <f>SUMIF('Keyword Results'!$A:$A,"Icelanders",'Keyword Results'!$P:$P)</f>
        <v>0</v>
      </c>
      <c r="O57" s="3">
        <f>SUMIF('Keyword Results'!$A:$A,"Icelanders",'Keyword Results'!$Q:$Q)</f>
        <v>0</v>
      </c>
      <c r="P57" s="3">
        <f>SUMIF('Keyword Results'!$A:$A,"Icelanders",'Keyword Results'!$R:$R)</f>
        <v>0</v>
      </c>
      <c r="Q57" s="3">
        <f>SUMIF('Keyword Results'!$A:$A,"Icelanders",'Keyword Results'!$S:$S)</f>
        <v>0</v>
      </c>
      <c r="R57" s="3">
        <f>SUMIF('Keyword Results'!$A:$A,"Icelanders",'Keyword Results'!$T:$T)</f>
        <v>0</v>
      </c>
      <c r="S57" s="3">
        <f>SUMIF('Keyword Results'!$A:$A,"Icelanders",'Keyword Results'!$U:$U)</f>
        <v>0</v>
      </c>
      <c r="T57" s="3">
        <f>SUMIF('Keyword Results'!$A:$A,"Icelanders",'Keyword Results'!$V:$V)</f>
        <v>0</v>
      </c>
      <c r="U57" s="3">
        <f>SUMIF('Keyword Results'!$A:$A,"Icelanders",'Keyword Results'!$W:$W)</f>
        <v>0</v>
      </c>
      <c r="V57" s="3">
        <f>SUMIF('Keyword Results'!$A:$A,"Icelanders",'Keyword Results'!$X:$X)</f>
        <v>0</v>
      </c>
      <c r="W57" s="3">
        <f t="shared" si="0"/>
        <v>6</v>
      </c>
    </row>
    <row r="58" spans="1:23" x14ac:dyDescent="0.2">
      <c r="A58" s="2" t="s">
        <v>85</v>
      </c>
      <c r="B58" s="3">
        <f>SUMIF('Keyword Results'!$A:$A,"Indian_people",'Keyword Results'!$D:$D)</f>
        <v>10</v>
      </c>
      <c r="C58" s="3">
        <f>SUMIF('Keyword Results'!$A:$A,"Indian_people",'Keyword Results'!$E:$E)</f>
        <v>1</v>
      </c>
      <c r="D58" s="3">
        <f>SUMIF('Keyword Results'!$A:$A,"Indian_people",'Keyword Results'!$F:$F)</f>
        <v>0</v>
      </c>
      <c r="E58" s="3">
        <f>SUMIF('Keyword Results'!$A:$A,"Indian_people",'Keyword Results'!$G:$G)</f>
        <v>0</v>
      </c>
      <c r="F58" s="3">
        <f>SUMIF('Keyword Results'!$A:$A,"Indian_people",'Keyword Results'!$H:$H)</f>
        <v>0</v>
      </c>
      <c r="G58" s="3">
        <f>SUMIF('Keyword Results'!$A:$A,"Indian_people",'Keyword Results'!$I:$I)</f>
        <v>0</v>
      </c>
      <c r="H58" s="3">
        <f>SUMIF('Keyword Results'!$A:$A,"Indian_people",'Keyword Results'!$J:$J)</f>
        <v>0</v>
      </c>
      <c r="I58" s="3">
        <f>SUMIF('Keyword Results'!$A:$A,"Indian_people",'Keyword Results'!$K:$K)</f>
        <v>0</v>
      </c>
      <c r="J58" s="3">
        <f>SUMIF('Keyword Results'!$A:$A,"Indian_people",'Keyword Results'!$L:$L)</f>
        <v>0</v>
      </c>
      <c r="K58" s="3">
        <f>SUMIF('Keyword Results'!$A:$A,"Indian_people",'Keyword Results'!$M:$M)</f>
        <v>0</v>
      </c>
      <c r="L58" s="3">
        <f>SUMIF('Keyword Results'!$A:$A,"Indian_people",'Keyword Results'!$N:$N)</f>
        <v>0</v>
      </c>
      <c r="M58" s="3">
        <f>SUMIF('Keyword Results'!$A:$A,"Indian_people",'Keyword Results'!$O:$O)</f>
        <v>0</v>
      </c>
      <c r="N58" s="3">
        <f>SUMIF('Keyword Results'!$A:$A,"Indian_people",'Keyword Results'!$P:$P)</f>
        <v>0</v>
      </c>
      <c r="O58" s="3">
        <f>SUMIF('Keyword Results'!$A:$A,"Indian_people",'Keyword Results'!$Q:$Q)</f>
        <v>0</v>
      </c>
      <c r="P58" s="3">
        <f>SUMIF('Keyword Results'!$A:$A,"Indian_people",'Keyword Results'!$R:$R)</f>
        <v>0</v>
      </c>
      <c r="Q58" s="3">
        <f>SUMIF('Keyword Results'!$A:$A,"Indian_people",'Keyword Results'!$S:$S)</f>
        <v>0</v>
      </c>
      <c r="R58" s="3">
        <f>SUMIF('Keyword Results'!$A:$A,"Indian_people",'Keyword Results'!$T:$T)</f>
        <v>0</v>
      </c>
      <c r="S58" s="3">
        <f>SUMIF('Keyword Results'!$A:$A,"Indian_people",'Keyword Results'!$U:$U)</f>
        <v>0</v>
      </c>
      <c r="T58" s="3">
        <f>SUMIF('Keyword Results'!$A:$A,"Indian_people",'Keyword Results'!$V:$V)</f>
        <v>0</v>
      </c>
      <c r="U58" s="3">
        <f>SUMIF('Keyword Results'!$A:$A,"Indian_people",'Keyword Results'!$W:$W)</f>
        <v>0</v>
      </c>
      <c r="V58" s="3">
        <f>SUMIF('Keyword Results'!$A:$A,"Indian_people",'Keyword Results'!$X:$X)</f>
        <v>0</v>
      </c>
      <c r="W58" s="3">
        <f t="shared" si="0"/>
        <v>1</v>
      </c>
    </row>
    <row r="59" spans="1:23" x14ac:dyDescent="0.2">
      <c r="A59" s="2" t="s">
        <v>86</v>
      </c>
      <c r="B59" s="3">
        <f>SUMIF('Keyword Results'!$A:$A,"Indonesians",'Keyword Results'!$D:$D)</f>
        <v>6</v>
      </c>
      <c r="C59" s="3">
        <f>SUMIF('Keyword Results'!$A:$A,"Indonesians",'Keyword Results'!$E:$E)</f>
        <v>0</v>
      </c>
      <c r="D59" s="3">
        <f>SUMIF('Keyword Results'!$A:$A,"Indonesians",'Keyword Results'!$F:$F)</f>
        <v>0</v>
      </c>
      <c r="E59" s="3">
        <f>SUMIF('Keyword Results'!$A:$A,"Indonesians",'Keyword Results'!$G:$G)</f>
        <v>0</v>
      </c>
      <c r="F59" s="3">
        <f>SUMIF('Keyword Results'!$A:$A,"Indonesians",'Keyword Results'!$H:$H)</f>
        <v>0</v>
      </c>
      <c r="G59" s="3">
        <f>SUMIF('Keyword Results'!$A:$A,"Indonesians",'Keyword Results'!$I:$I)</f>
        <v>0</v>
      </c>
      <c r="H59" s="3">
        <f>SUMIF('Keyword Results'!$A:$A,"Indonesians",'Keyword Results'!$J:$J)</f>
        <v>0</v>
      </c>
      <c r="I59" s="3">
        <f>SUMIF('Keyword Results'!$A:$A,"Indonesians",'Keyword Results'!$K:$K)</f>
        <v>0</v>
      </c>
      <c r="J59" s="3">
        <f>SUMIF('Keyword Results'!$A:$A,"Indonesians",'Keyword Results'!$L:$L)</f>
        <v>0</v>
      </c>
      <c r="K59" s="3">
        <f>SUMIF('Keyword Results'!$A:$A,"Indonesians",'Keyword Results'!$M:$M)</f>
        <v>0</v>
      </c>
      <c r="L59" s="3">
        <f>SUMIF('Keyword Results'!$A:$A,"Indonesians",'Keyword Results'!$N:$N)</f>
        <v>0</v>
      </c>
      <c r="M59" s="3">
        <f>SUMIF('Keyword Results'!$A:$A,"Indonesians",'Keyword Results'!$O:$O)</f>
        <v>0</v>
      </c>
      <c r="N59" s="3">
        <f>SUMIF('Keyword Results'!$A:$A,"Indonesians",'Keyword Results'!$P:$P)</f>
        <v>0</v>
      </c>
      <c r="O59" s="3">
        <f>SUMIF('Keyword Results'!$A:$A,"Indonesians",'Keyword Results'!$Q:$Q)</f>
        <v>0</v>
      </c>
      <c r="P59" s="3">
        <f>SUMIF('Keyword Results'!$A:$A,"Indonesians",'Keyword Results'!$R:$R)</f>
        <v>0</v>
      </c>
      <c r="Q59" s="3">
        <f>SUMIF('Keyword Results'!$A:$A,"Indonesians",'Keyword Results'!$S:$S)</f>
        <v>0</v>
      </c>
      <c r="R59" s="3">
        <f>SUMIF('Keyword Results'!$A:$A,"Indonesians",'Keyword Results'!$T:$T)</f>
        <v>0</v>
      </c>
      <c r="S59" s="3">
        <f>SUMIF('Keyword Results'!$A:$A,"Indonesians",'Keyword Results'!$U:$U)</f>
        <v>0</v>
      </c>
      <c r="T59" s="3">
        <f>SUMIF('Keyword Results'!$A:$A,"Indonesians",'Keyword Results'!$V:$V)</f>
        <v>0</v>
      </c>
      <c r="U59" s="3">
        <f>SUMIF('Keyword Results'!$A:$A,"Indonesians",'Keyword Results'!$W:$W)</f>
        <v>0</v>
      </c>
      <c r="V59" s="3">
        <f>SUMIF('Keyword Results'!$A:$A,"Indonesians",'Keyword Results'!$X:$X)</f>
        <v>0</v>
      </c>
      <c r="W59" s="3">
        <f t="shared" si="0"/>
        <v>0</v>
      </c>
    </row>
    <row r="60" spans="1:23" x14ac:dyDescent="0.2">
      <c r="A60" s="2" t="s">
        <v>87</v>
      </c>
      <c r="B60" s="3">
        <f>SUMIF('Keyword Results'!$A:$A,"Iraqis",'Keyword Results'!$D:$D)</f>
        <v>8</v>
      </c>
      <c r="C60" s="3">
        <f>SUMIF('Keyword Results'!$A:$A,"Iraqis",'Keyword Results'!$E:$E)</f>
        <v>1</v>
      </c>
      <c r="D60" s="3">
        <f>SUMIF('Keyword Results'!$A:$A,"Iraqis",'Keyword Results'!$F:$F)</f>
        <v>0</v>
      </c>
      <c r="E60" s="3">
        <f>SUMIF('Keyword Results'!$A:$A,"Iraqis",'Keyword Results'!$G:$G)</f>
        <v>0</v>
      </c>
      <c r="F60" s="3">
        <f>SUMIF('Keyword Results'!$A:$A,"Iraqis",'Keyword Results'!$H:$H)</f>
        <v>0</v>
      </c>
      <c r="G60" s="3">
        <f>SUMIF('Keyword Results'!$A:$A,"Iraqis",'Keyword Results'!$I:$I)</f>
        <v>0</v>
      </c>
      <c r="H60" s="3">
        <f>SUMIF('Keyword Results'!$A:$A,"Iraqis",'Keyword Results'!$J:$J)</f>
        <v>0</v>
      </c>
      <c r="I60" s="3">
        <f>SUMIF('Keyword Results'!$A:$A,"Iraqis",'Keyword Results'!$K:$K)</f>
        <v>0</v>
      </c>
      <c r="J60" s="3">
        <f>SUMIF('Keyword Results'!$A:$A,"Iraqis",'Keyword Results'!$L:$L)</f>
        <v>0</v>
      </c>
      <c r="K60" s="3">
        <f>SUMIF('Keyword Results'!$A:$A,"Iraqis",'Keyword Results'!$M:$M)</f>
        <v>0</v>
      </c>
      <c r="L60" s="3">
        <f>SUMIF('Keyword Results'!$A:$A,"Iraqis",'Keyword Results'!$N:$N)</f>
        <v>0</v>
      </c>
      <c r="M60" s="3">
        <f>SUMIF('Keyword Results'!$A:$A,"Iraqis",'Keyword Results'!$O:$O)</f>
        <v>0</v>
      </c>
      <c r="N60" s="3">
        <f>SUMIF('Keyword Results'!$A:$A,"Iraqis",'Keyword Results'!$P:$P)</f>
        <v>0</v>
      </c>
      <c r="O60" s="3">
        <f>SUMIF('Keyword Results'!$A:$A,"Iraqis",'Keyword Results'!$Q:$Q)</f>
        <v>0</v>
      </c>
      <c r="P60" s="3">
        <f>SUMIF('Keyword Results'!$A:$A,"Iraqis",'Keyword Results'!$R:$R)</f>
        <v>0</v>
      </c>
      <c r="Q60" s="3">
        <f>SUMIF('Keyword Results'!$A:$A,"Iraqis",'Keyword Results'!$S:$S)</f>
        <v>0</v>
      </c>
      <c r="R60" s="3">
        <f>SUMIF('Keyword Results'!$A:$A,"Iraqis",'Keyword Results'!$T:$T)</f>
        <v>0</v>
      </c>
      <c r="S60" s="3">
        <f>SUMIF('Keyword Results'!$A:$A,"Iraqis",'Keyword Results'!$U:$U)</f>
        <v>0</v>
      </c>
      <c r="T60" s="3">
        <f>SUMIF('Keyword Results'!$A:$A,"Iraqis",'Keyword Results'!$V:$V)</f>
        <v>0</v>
      </c>
      <c r="U60" s="3">
        <f>SUMIF('Keyword Results'!$A:$A,"Iraqis",'Keyword Results'!$W:$W)</f>
        <v>0</v>
      </c>
      <c r="V60" s="3">
        <f>SUMIF('Keyword Results'!$A:$A,"Iraqis",'Keyword Results'!$X:$X)</f>
        <v>0</v>
      </c>
      <c r="W60" s="3">
        <f t="shared" si="0"/>
        <v>1</v>
      </c>
    </row>
    <row r="61" spans="1:23" x14ac:dyDescent="0.2">
      <c r="A61" s="2" t="s">
        <v>88</v>
      </c>
      <c r="B61" s="3">
        <f>SUMIF('Keyword Results'!$A:$A,"Irish_people",'Keyword Results'!$D:$D)</f>
        <v>8</v>
      </c>
      <c r="C61" s="3">
        <f>SUMIF('Keyword Results'!$A:$A,"Irish_people",'Keyword Results'!$E:$E)</f>
        <v>0</v>
      </c>
      <c r="D61" s="3">
        <f>SUMIF('Keyword Results'!$A:$A,"Irish_people",'Keyword Results'!$F:$F)</f>
        <v>0</v>
      </c>
      <c r="E61" s="3">
        <f>SUMIF('Keyword Results'!$A:$A,"Irish_people",'Keyword Results'!$G:$G)</f>
        <v>1</v>
      </c>
      <c r="F61" s="3">
        <f>SUMIF('Keyword Results'!$A:$A,"Irish_people",'Keyword Results'!$H:$H)</f>
        <v>0</v>
      </c>
      <c r="G61" s="3">
        <f>SUMIF('Keyword Results'!$A:$A,"Irish_people",'Keyword Results'!$I:$I)</f>
        <v>0</v>
      </c>
      <c r="H61" s="3">
        <f>SUMIF('Keyword Results'!$A:$A,"Irish_people",'Keyword Results'!$J:$J)</f>
        <v>0</v>
      </c>
      <c r="I61" s="3">
        <f>SUMIF('Keyword Results'!$A:$A,"Irish_people",'Keyword Results'!$K:$K)</f>
        <v>0</v>
      </c>
      <c r="J61" s="3">
        <f>SUMIF('Keyword Results'!$A:$A,"Irish_people",'Keyword Results'!$L:$L)</f>
        <v>0</v>
      </c>
      <c r="K61" s="3">
        <f>SUMIF('Keyword Results'!$A:$A,"Irish_people",'Keyword Results'!$M:$M)</f>
        <v>0</v>
      </c>
      <c r="L61" s="3">
        <f>SUMIF('Keyword Results'!$A:$A,"Irish_people",'Keyword Results'!$N:$N)</f>
        <v>0</v>
      </c>
      <c r="M61" s="3">
        <f>SUMIF('Keyword Results'!$A:$A,"Irish_people",'Keyword Results'!$O:$O)</f>
        <v>0</v>
      </c>
      <c r="N61" s="3">
        <f>SUMIF('Keyword Results'!$A:$A,"Irish_people",'Keyword Results'!$P:$P)</f>
        <v>0</v>
      </c>
      <c r="O61" s="3">
        <f>SUMIF('Keyword Results'!$A:$A,"Irish_people",'Keyword Results'!$Q:$Q)</f>
        <v>0</v>
      </c>
      <c r="P61" s="3">
        <f>SUMIF('Keyword Results'!$A:$A,"Irish_people",'Keyword Results'!$R:$R)</f>
        <v>0</v>
      </c>
      <c r="Q61" s="3">
        <f>SUMIF('Keyword Results'!$A:$A,"Irish_people",'Keyword Results'!$S:$S)</f>
        <v>0</v>
      </c>
      <c r="R61" s="3">
        <f>SUMIF('Keyword Results'!$A:$A,"Irish_people",'Keyword Results'!$T:$T)</f>
        <v>0</v>
      </c>
      <c r="S61" s="3">
        <f>SUMIF('Keyword Results'!$A:$A,"Irish_people",'Keyword Results'!$U:$U)</f>
        <v>0</v>
      </c>
      <c r="T61" s="3">
        <f>SUMIF('Keyword Results'!$A:$A,"Irish_people",'Keyword Results'!$V:$V)</f>
        <v>0</v>
      </c>
      <c r="U61" s="3">
        <f>SUMIF('Keyword Results'!$A:$A,"Irish_people",'Keyword Results'!$W:$W)</f>
        <v>0</v>
      </c>
      <c r="V61" s="3">
        <f>SUMIF('Keyword Results'!$A:$A,"Irish_people",'Keyword Results'!$X:$X)</f>
        <v>0</v>
      </c>
      <c r="W61" s="3">
        <f t="shared" si="0"/>
        <v>1</v>
      </c>
    </row>
    <row r="62" spans="1:23" x14ac:dyDescent="0.2">
      <c r="A62" s="2" t="s">
        <v>89</v>
      </c>
      <c r="B62" s="3">
        <f>SUMIF('Keyword Results'!$A:$A,"Israelis",'Keyword Results'!$D:$D)</f>
        <v>14</v>
      </c>
      <c r="C62" s="3">
        <f>SUMIF('Keyword Results'!$A:$A,"Israelis",'Keyword Results'!$E:$E)</f>
        <v>0</v>
      </c>
      <c r="D62" s="3">
        <f>SUMIF('Keyword Results'!$A:$A,"Israelis",'Keyword Results'!$F:$F)</f>
        <v>0</v>
      </c>
      <c r="E62" s="3">
        <f>SUMIF('Keyword Results'!$A:$A,"Israelis",'Keyword Results'!$G:$G)</f>
        <v>0</v>
      </c>
      <c r="F62" s="3">
        <f>SUMIF('Keyword Results'!$A:$A,"Israelis",'Keyword Results'!$H:$H)</f>
        <v>0</v>
      </c>
      <c r="G62" s="3">
        <f>SUMIF('Keyword Results'!$A:$A,"Israelis",'Keyword Results'!$I:$I)</f>
        <v>0</v>
      </c>
      <c r="H62" s="3">
        <f>SUMIF('Keyword Results'!$A:$A,"Israelis",'Keyword Results'!$J:$J)</f>
        <v>0</v>
      </c>
      <c r="I62" s="3">
        <f>SUMIF('Keyword Results'!$A:$A,"Israelis",'Keyword Results'!$K:$K)</f>
        <v>0</v>
      </c>
      <c r="J62" s="3">
        <f>SUMIF('Keyword Results'!$A:$A,"Israelis",'Keyword Results'!$L:$L)</f>
        <v>0</v>
      </c>
      <c r="K62" s="3">
        <f>SUMIF('Keyword Results'!$A:$A,"Israelis",'Keyword Results'!$M:$M)</f>
        <v>0</v>
      </c>
      <c r="L62" s="3">
        <f>SUMIF('Keyword Results'!$A:$A,"Israelis",'Keyword Results'!$N:$N)</f>
        <v>0</v>
      </c>
      <c r="M62" s="3">
        <f>SUMIF('Keyword Results'!$A:$A,"Israelis",'Keyword Results'!$O:$O)</f>
        <v>0</v>
      </c>
      <c r="N62" s="3">
        <f>SUMIF('Keyword Results'!$A:$A,"Israelis",'Keyword Results'!$P:$P)</f>
        <v>0</v>
      </c>
      <c r="O62" s="3">
        <f>SUMIF('Keyword Results'!$A:$A,"Israelis",'Keyword Results'!$Q:$Q)</f>
        <v>0</v>
      </c>
      <c r="P62" s="3">
        <f>SUMIF('Keyword Results'!$A:$A,"Israelis",'Keyword Results'!$R:$R)</f>
        <v>0</v>
      </c>
      <c r="Q62" s="3">
        <f>SUMIF('Keyword Results'!$A:$A,"Israelis",'Keyword Results'!$S:$S)</f>
        <v>0</v>
      </c>
      <c r="R62" s="3">
        <f>SUMIF('Keyword Results'!$A:$A,"Israelis",'Keyword Results'!$T:$T)</f>
        <v>0</v>
      </c>
      <c r="S62" s="3">
        <f>SUMIF('Keyword Results'!$A:$A,"Israelis",'Keyword Results'!$U:$U)</f>
        <v>0</v>
      </c>
      <c r="T62" s="3">
        <f>SUMIF('Keyword Results'!$A:$A,"Israelis",'Keyword Results'!$V:$V)</f>
        <v>0</v>
      </c>
      <c r="U62" s="3">
        <f>SUMIF('Keyword Results'!$A:$A,"Israelis",'Keyword Results'!$W:$W)</f>
        <v>0</v>
      </c>
      <c r="V62" s="3">
        <f>SUMIF('Keyword Results'!$A:$A,"Israelis",'Keyword Results'!$X:$X)</f>
        <v>0</v>
      </c>
      <c r="W62" s="3">
        <f t="shared" si="0"/>
        <v>0</v>
      </c>
    </row>
    <row r="63" spans="1:23" x14ac:dyDescent="0.2">
      <c r="A63" s="2" t="s">
        <v>90</v>
      </c>
      <c r="B63" s="3">
        <f>SUMIF('Keyword Results'!$A:$A,"Italians",'Keyword Results'!$D:$D)</f>
        <v>9</v>
      </c>
      <c r="C63" s="3">
        <f>SUMIF('Keyword Results'!$A:$A,"Italians",'Keyword Results'!$E:$E)</f>
        <v>0</v>
      </c>
      <c r="D63" s="3">
        <f>SUMIF('Keyword Results'!$A:$A,"Italians",'Keyword Results'!$F:$F)</f>
        <v>0</v>
      </c>
      <c r="E63" s="3">
        <f>SUMIF('Keyword Results'!$A:$A,"Italians",'Keyword Results'!$G:$G)</f>
        <v>0</v>
      </c>
      <c r="F63" s="3">
        <f>SUMIF('Keyword Results'!$A:$A,"Italians",'Keyword Results'!$H:$H)</f>
        <v>0</v>
      </c>
      <c r="G63" s="3">
        <f>SUMIF('Keyword Results'!$A:$A,"Italians",'Keyword Results'!$I:$I)</f>
        <v>0</v>
      </c>
      <c r="H63" s="3">
        <f>SUMIF('Keyword Results'!$A:$A,"Italians",'Keyword Results'!$J:$J)</f>
        <v>0</v>
      </c>
      <c r="I63" s="3">
        <f>SUMIF('Keyword Results'!$A:$A,"Italians",'Keyword Results'!$K:$K)</f>
        <v>0</v>
      </c>
      <c r="J63" s="3">
        <f>SUMIF('Keyword Results'!$A:$A,"Italians",'Keyword Results'!$L:$L)</f>
        <v>0</v>
      </c>
      <c r="K63" s="3">
        <f>SUMIF('Keyword Results'!$A:$A,"Italians",'Keyword Results'!$M:$M)</f>
        <v>0</v>
      </c>
      <c r="L63" s="3">
        <f>SUMIF('Keyword Results'!$A:$A,"Italians",'Keyword Results'!$N:$N)</f>
        <v>0</v>
      </c>
      <c r="M63" s="3">
        <f>SUMIF('Keyword Results'!$A:$A,"Italians",'Keyword Results'!$O:$O)</f>
        <v>0</v>
      </c>
      <c r="N63" s="3">
        <f>SUMIF('Keyword Results'!$A:$A,"Italians",'Keyword Results'!$P:$P)</f>
        <v>0</v>
      </c>
      <c r="O63" s="3">
        <f>SUMIF('Keyword Results'!$A:$A,"Italians",'Keyword Results'!$Q:$Q)</f>
        <v>0</v>
      </c>
      <c r="P63" s="3">
        <f>SUMIF('Keyword Results'!$A:$A,"Italians",'Keyword Results'!$R:$R)</f>
        <v>0</v>
      </c>
      <c r="Q63" s="3">
        <f>SUMIF('Keyword Results'!$A:$A,"Italians",'Keyword Results'!$S:$S)</f>
        <v>0</v>
      </c>
      <c r="R63" s="3">
        <f>SUMIF('Keyword Results'!$A:$A,"Italians",'Keyword Results'!$T:$T)</f>
        <v>0</v>
      </c>
      <c r="S63" s="3">
        <f>SUMIF('Keyword Results'!$A:$A,"Italians",'Keyword Results'!$U:$U)</f>
        <v>0</v>
      </c>
      <c r="T63" s="3">
        <f>SUMIF('Keyword Results'!$A:$A,"Italians",'Keyword Results'!$V:$V)</f>
        <v>0</v>
      </c>
      <c r="U63" s="3">
        <f>SUMIF('Keyword Results'!$A:$A,"Italians",'Keyword Results'!$W:$W)</f>
        <v>0</v>
      </c>
      <c r="V63" s="3">
        <f>SUMIF('Keyword Results'!$A:$A,"Italians",'Keyword Results'!$X:$X)</f>
        <v>0</v>
      </c>
      <c r="W63" s="3">
        <f t="shared" si="0"/>
        <v>0</v>
      </c>
    </row>
    <row r="64" spans="1:23" x14ac:dyDescent="0.2">
      <c r="A64" s="2" t="s">
        <v>91</v>
      </c>
      <c r="B64" s="3">
        <f>SUMIF('Keyword Results'!$A:$A,"Jamaicans",'Keyword Results'!$D:$D)</f>
        <v>8</v>
      </c>
      <c r="C64" s="3">
        <f>SUMIF('Keyword Results'!$A:$A,"Jamaicans",'Keyword Results'!$E:$E)</f>
        <v>0</v>
      </c>
      <c r="D64" s="3">
        <f>SUMIF('Keyword Results'!$A:$A,"Jamaicans",'Keyword Results'!$F:$F)</f>
        <v>0</v>
      </c>
      <c r="E64" s="3">
        <f>SUMIF('Keyword Results'!$A:$A,"Jamaicans",'Keyword Results'!$G:$G)</f>
        <v>0</v>
      </c>
      <c r="F64" s="3">
        <f>SUMIF('Keyword Results'!$A:$A,"Jamaicans",'Keyword Results'!$H:$H)</f>
        <v>0</v>
      </c>
      <c r="G64" s="3">
        <f>SUMIF('Keyword Results'!$A:$A,"Jamaicans",'Keyword Results'!$I:$I)</f>
        <v>0</v>
      </c>
      <c r="H64" s="3">
        <f>SUMIF('Keyword Results'!$A:$A,"Jamaicans",'Keyword Results'!$J:$J)</f>
        <v>0</v>
      </c>
      <c r="I64" s="3">
        <f>SUMIF('Keyword Results'!$A:$A,"Jamaicans",'Keyword Results'!$K:$K)</f>
        <v>0</v>
      </c>
      <c r="J64" s="3">
        <f>SUMIF('Keyword Results'!$A:$A,"Jamaicans",'Keyword Results'!$L:$L)</f>
        <v>0</v>
      </c>
      <c r="K64" s="3">
        <f>SUMIF('Keyword Results'!$A:$A,"Jamaicans",'Keyword Results'!$M:$M)</f>
        <v>0</v>
      </c>
      <c r="L64" s="3">
        <f>SUMIF('Keyword Results'!$A:$A,"Jamaicans",'Keyword Results'!$N:$N)</f>
        <v>0</v>
      </c>
      <c r="M64" s="3">
        <f>SUMIF('Keyword Results'!$A:$A,"Jamaicans",'Keyword Results'!$O:$O)</f>
        <v>0</v>
      </c>
      <c r="N64" s="3">
        <f>SUMIF('Keyword Results'!$A:$A,"Jamaicans",'Keyword Results'!$P:$P)</f>
        <v>0</v>
      </c>
      <c r="O64" s="3">
        <f>SUMIF('Keyword Results'!$A:$A,"Jamaicans",'Keyword Results'!$Q:$Q)</f>
        <v>0</v>
      </c>
      <c r="P64" s="3">
        <f>SUMIF('Keyword Results'!$A:$A,"Jamaicans",'Keyword Results'!$R:$R)</f>
        <v>0</v>
      </c>
      <c r="Q64" s="3">
        <f>SUMIF('Keyword Results'!$A:$A,"Jamaicans",'Keyword Results'!$S:$S)</f>
        <v>0</v>
      </c>
      <c r="R64" s="3">
        <f>SUMIF('Keyword Results'!$A:$A,"Jamaicans",'Keyword Results'!$T:$T)</f>
        <v>0</v>
      </c>
      <c r="S64" s="3">
        <f>SUMIF('Keyword Results'!$A:$A,"Jamaicans",'Keyword Results'!$U:$U)</f>
        <v>0</v>
      </c>
      <c r="T64" s="3">
        <f>SUMIF('Keyword Results'!$A:$A,"Jamaicans",'Keyword Results'!$V:$V)</f>
        <v>0</v>
      </c>
      <c r="U64" s="3">
        <f>SUMIF('Keyword Results'!$A:$A,"Jamaicans",'Keyword Results'!$W:$W)</f>
        <v>0</v>
      </c>
      <c r="V64" s="3">
        <f>SUMIF('Keyword Results'!$A:$A,"Jamaicans",'Keyword Results'!$X:$X)</f>
        <v>0</v>
      </c>
      <c r="W64" s="3">
        <f t="shared" si="0"/>
        <v>0</v>
      </c>
    </row>
    <row r="65" spans="1:23" x14ac:dyDescent="0.2">
      <c r="A65" s="2" t="s">
        <v>92</v>
      </c>
      <c r="B65" s="3">
        <f>SUMIF('Keyword Results'!$A:$A,"Japanese_people",'Keyword Results'!$D:$D)</f>
        <v>9</v>
      </c>
      <c r="C65" s="3">
        <f>SUMIF('Keyword Results'!$A:$A,"Japanese_people",'Keyword Results'!$E:$E)</f>
        <v>5</v>
      </c>
      <c r="D65" s="3">
        <f>SUMIF('Keyword Results'!$A:$A,"Japanese_people",'Keyword Results'!$F:$F)</f>
        <v>0</v>
      </c>
      <c r="E65" s="3">
        <f>SUMIF('Keyword Results'!$A:$A,"Japanese_people",'Keyword Results'!$G:$G)</f>
        <v>1</v>
      </c>
      <c r="F65" s="3">
        <f>SUMIF('Keyword Results'!$A:$A,"Japanese_people",'Keyword Results'!$H:$H)</f>
        <v>0</v>
      </c>
      <c r="G65" s="3">
        <f>SUMIF('Keyword Results'!$A:$A,"Japanese_people",'Keyword Results'!$I:$I)</f>
        <v>0</v>
      </c>
      <c r="H65" s="3">
        <f>SUMIF('Keyword Results'!$A:$A,"Japanese_people",'Keyword Results'!$J:$J)</f>
        <v>0</v>
      </c>
      <c r="I65" s="3">
        <f>SUMIF('Keyword Results'!$A:$A,"Japanese_people",'Keyword Results'!$K:$K)</f>
        <v>0</v>
      </c>
      <c r="J65" s="3">
        <f>SUMIF('Keyword Results'!$A:$A,"Japanese_people",'Keyword Results'!$L:$L)</f>
        <v>0</v>
      </c>
      <c r="K65" s="3">
        <f>SUMIF('Keyword Results'!$A:$A,"Japanese_people",'Keyword Results'!$M:$M)</f>
        <v>0</v>
      </c>
      <c r="L65" s="3">
        <f>SUMIF('Keyword Results'!$A:$A,"Japanese_people",'Keyword Results'!$N:$N)</f>
        <v>0</v>
      </c>
      <c r="M65" s="3">
        <f>SUMIF('Keyword Results'!$A:$A,"Japanese_people",'Keyword Results'!$O:$O)</f>
        <v>0</v>
      </c>
      <c r="N65" s="3">
        <f>SUMIF('Keyword Results'!$A:$A,"Japanese_people",'Keyword Results'!$P:$P)</f>
        <v>0</v>
      </c>
      <c r="O65" s="3">
        <f>SUMIF('Keyword Results'!$A:$A,"Japanese_people",'Keyword Results'!$Q:$Q)</f>
        <v>0</v>
      </c>
      <c r="P65" s="3">
        <f>SUMIF('Keyword Results'!$A:$A,"Japanese_people",'Keyword Results'!$R:$R)</f>
        <v>0</v>
      </c>
      <c r="Q65" s="3">
        <f>SUMIF('Keyword Results'!$A:$A,"Japanese_people",'Keyword Results'!$S:$S)</f>
        <v>0</v>
      </c>
      <c r="R65" s="3">
        <f>SUMIF('Keyword Results'!$A:$A,"Japanese_people",'Keyword Results'!$T:$T)</f>
        <v>0</v>
      </c>
      <c r="S65" s="3">
        <f>SUMIF('Keyword Results'!$A:$A,"Japanese_people",'Keyword Results'!$U:$U)</f>
        <v>0</v>
      </c>
      <c r="T65" s="3">
        <f>SUMIF('Keyword Results'!$A:$A,"Japanese_people",'Keyword Results'!$V:$V)</f>
        <v>0</v>
      </c>
      <c r="U65" s="3">
        <f>SUMIF('Keyword Results'!$A:$A,"Japanese_people",'Keyword Results'!$W:$W)</f>
        <v>0</v>
      </c>
      <c r="V65" s="3">
        <f>SUMIF('Keyword Results'!$A:$A,"Japanese_people",'Keyword Results'!$X:$X)</f>
        <v>0</v>
      </c>
      <c r="W65" s="3">
        <f t="shared" si="0"/>
        <v>6</v>
      </c>
    </row>
    <row r="66" spans="1:23" x14ac:dyDescent="0.2">
      <c r="A66" s="2" t="s">
        <v>93</v>
      </c>
      <c r="B66" s="3">
        <f>SUMIF('Keyword Results'!$A:$A,"Kazakhs",'Keyword Results'!$D:$D)</f>
        <v>9</v>
      </c>
      <c r="C66" s="3">
        <f>SUMIF('Keyword Results'!$A:$A,"Kazakhs",'Keyword Results'!$E:$E)</f>
        <v>3</v>
      </c>
      <c r="D66" s="3">
        <f>SUMIF('Keyword Results'!$A:$A,"Kazakhs",'Keyword Results'!$F:$F)</f>
        <v>0</v>
      </c>
      <c r="E66" s="3">
        <f>SUMIF('Keyword Results'!$A:$A,"Kazakhs",'Keyword Results'!$G:$G)</f>
        <v>0</v>
      </c>
      <c r="F66" s="3">
        <f>SUMIF('Keyword Results'!$A:$A,"Kazakhs",'Keyword Results'!$H:$H)</f>
        <v>0</v>
      </c>
      <c r="G66" s="3">
        <f>SUMIF('Keyword Results'!$A:$A,"Kazakhs",'Keyword Results'!$I:$I)</f>
        <v>0</v>
      </c>
      <c r="H66" s="3">
        <f>SUMIF('Keyword Results'!$A:$A,"Kazakhs",'Keyword Results'!$J:$J)</f>
        <v>0</v>
      </c>
      <c r="I66" s="3">
        <f>SUMIF('Keyword Results'!$A:$A,"Kazakhs",'Keyword Results'!$K:$K)</f>
        <v>0</v>
      </c>
      <c r="J66" s="3">
        <f>SUMIF('Keyword Results'!$A:$A,"Kazakhs",'Keyword Results'!$L:$L)</f>
        <v>0</v>
      </c>
      <c r="K66" s="3">
        <f>SUMIF('Keyword Results'!$A:$A,"Kazakhs",'Keyword Results'!$M:$M)</f>
        <v>0</v>
      </c>
      <c r="L66" s="3">
        <f>SUMIF('Keyword Results'!$A:$A,"Kazakhs",'Keyword Results'!$N:$N)</f>
        <v>0</v>
      </c>
      <c r="M66" s="3">
        <f>SUMIF('Keyword Results'!$A:$A,"Kazakhs",'Keyword Results'!$O:$O)</f>
        <v>0</v>
      </c>
      <c r="N66" s="3">
        <f>SUMIF('Keyword Results'!$A:$A,"Kazakhs",'Keyword Results'!$P:$P)</f>
        <v>0</v>
      </c>
      <c r="O66" s="3">
        <f>SUMIF('Keyword Results'!$A:$A,"Kazakhs",'Keyword Results'!$Q:$Q)</f>
        <v>0</v>
      </c>
      <c r="P66" s="3">
        <f>SUMIF('Keyword Results'!$A:$A,"Kazakhs",'Keyword Results'!$R:$R)</f>
        <v>0</v>
      </c>
      <c r="Q66" s="3">
        <f>SUMIF('Keyword Results'!$A:$A,"Kazakhs",'Keyword Results'!$S:$S)</f>
        <v>0</v>
      </c>
      <c r="R66" s="3">
        <f>SUMIF('Keyword Results'!$A:$A,"Kazakhs",'Keyword Results'!$T:$T)</f>
        <v>0</v>
      </c>
      <c r="S66" s="3">
        <f>SUMIF('Keyword Results'!$A:$A,"Kazakhs",'Keyword Results'!$U:$U)</f>
        <v>0</v>
      </c>
      <c r="T66" s="3">
        <f>SUMIF('Keyword Results'!$A:$A,"Kazakhs",'Keyword Results'!$V:$V)</f>
        <v>0</v>
      </c>
      <c r="U66" s="3">
        <f>SUMIF('Keyword Results'!$A:$A,"Kazakhs",'Keyword Results'!$W:$W)</f>
        <v>0</v>
      </c>
      <c r="V66" s="3">
        <f>SUMIF('Keyword Results'!$A:$A,"Kazakhs",'Keyword Results'!$X:$X)</f>
        <v>0</v>
      </c>
      <c r="W66" s="3">
        <f t="shared" si="0"/>
        <v>3</v>
      </c>
    </row>
    <row r="67" spans="1:23" x14ac:dyDescent="0.2">
      <c r="A67" s="2" t="s">
        <v>94</v>
      </c>
      <c r="B67" s="3">
        <f>SUMIF('Keyword Results'!$A:$A,"Koreans",'Keyword Results'!$D:$D)</f>
        <v>10</v>
      </c>
      <c r="C67" s="3">
        <f>SUMIF('Keyword Results'!$A:$A,"Koreans",'Keyword Results'!$E:$E)</f>
        <v>0</v>
      </c>
      <c r="D67" s="3">
        <f>SUMIF('Keyword Results'!$A:$A,"Koreans",'Keyword Results'!$F:$F)</f>
        <v>0</v>
      </c>
      <c r="E67" s="3">
        <f>SUMIF('Keyword Results'!$A:$A,"Koreans",'Keyword Results'!$G:$G)</f>
        <v>0</v>
      </c>
      <c r="F67" s="3">
        <f>SUMIF('Keyword Results'!$A:$A,"Koreans",'Keyword Results'!$H:$H)</f>
        <v>0</v>
      </c>
      <c r="G67" s="3">
        <f>SUMIF('Keyword Results'!$A:$A,"Koreans",'Keyword Results'!$I:$I)</f>
        <v>0</v>
      </c>
      <c r="H67" s="3">
        <f>SUMIF('Keyword Results'!$A:$A,"Koreans",'Keyword Results'!$J:$J)</f>
        <v>0</v>
      </c>
      <c r="I67" s="3">
        <f>SUMIF('Keyword Results'!$A:$A,"Koreans",'Keyword Results'!$K:$K)</f>
        <v>0</v>
      </c>
      <c r="J67" s="3">
        <f>SUMIF('Keyword Results'!$A:$A,"Koreans",'Keyword Results'!$L:$L)</f>
        <v>0</v>
      </c>
      <c r="K67" s="3">
        <f>SUMIF('Keyword Results'!$A:$A,"Koreans",'Keyword Results'!$M:$M)</f>
        <v>0</v>
      </c>
      <c r="L67" s="3">
        <f>SUMIF('Keyword Results'!$A:$A,"Koreans",'Keyword Results'!$N:$N)</f>
        <v>0</v>
      </c>
      <c r="M67" s="3">
        <f>SUMIF('Keyword Results'!$A:$A,"Koreans",'Keyword Results'!$O:$O)</f>
        <v>0</v>
      </c>
      <c r="N67" s="3">
        <f>SUMIF('Keyword Results'!$A:$A,"Koreans",'Keyword Results'!$P:$P)</f>
        <v>0</v>
      </c>
      <c r="O67" s="3">
        <f>SUMIF('Keyword Results'!$A:$A,"Koreans",'Keyword Results'!$Q:$Q)</f>
        <v>0</v>
      </c>
      <c r="P67" s="3">
        <f>SUMIF('Keyword Results'!$A:$A,"Koreans",'Keyword Results'!$R:$R)</f>
        <v>0</v>
      </c>
      <c r="Q67" s="3">
        <f>SUMIF('Keyword Results'!$A:$A,"Koreans",'Keyword Results'!$S:$S)</f>
        <v>0</v>
      </c>
      <c r="R67" s="3">
        <f>SUMIF('Keyword Results'!$A:$A,"Koreans",'Keyword Results'!$T:$T)</f>
        <v>0</v>
      </c>
      <c r="S67" s="3">
        <f>SUMIF('Keyword Results'!$A:$A,"Koreans",'Keyword Results'!$U:$U)</f>
        <v>0</v>
      </c>
      <c r="T67" s="3">
        <f>SUMIF('Keyword Results'!$A:$A,"Koreans",'Keyword Results'!$V:$V)</f>
        <v>0</v>
      </c>
      <c r="U67" s="3">
        <f>SUMIF('Keyword Results'!$A:$A,"Koreans",'Keyword Results'!$W:$W)</f>
        <v>0</v>
      </c>
      <c r="V67" s="3">
        <f>SUMIF('Keyword Results'!$A:$A,"Koreans",'Keyword Results'!$X:$X)</f>
        <v>0</v>
      </c>
      <c r="W67" s="3">
        <f t="shared" ref="W67:W130" si="1">SUM(C67:V67)</f>
        <v>0</v>
      </c>
    </row>
    <row r="68" spans="1:23" x14ac:dyDescent="0.2">
      <c r="A68" s="2" t="s">
        <v>95</v>
      </c>
      <c r="B68" s="3">
        <f>SUMIF('Keyword Results'!$A:$A,"Kosovars",'Keyword Results'!$D:$D)</f>
        <v>9</v>
      </c>
      <c r="C68" s="3">
        <f>SUMIF('Keyword Results'!$A:$A,"Kosovars",'Keyword Results'!$E:$E)</f>
        <v>0</v>
      </c>
      <c r="D68" s="3">
        <f>SUMIF('Keyword Results'!$A:$A,"Kosovars",'Keyword Results'!$F:$F)</f>
        <v>0</v>
      </c>
      <c r="E68" s="3">
        <f>SUMIF('Keyword Results'!$A:$A,"Kosovars",'Keyword Results'!$G:$G)</f>
        <v>0</v>
      </c>
      <c r="F68" s="3">
        <f>SUMIF('Keyword Results'!$A:$A,"Kosovars",'Keyword Results'!$H:$H)</f>
        <v>0</v>
      </c>
      <c r="G68" s="3">
        <f>SUMIF('Keyword Results'!$A:$A,"Kosovars",'Keyword Results'!$I:$I)</f>
        <v>0</v>
      </c>
      <c r="H68" s="3">
        <f>SUMIF('Keyword Results'!$A:$A,"Kosovars",'Keyword Results'!$J:$J)</f>
        <v>0</v>
      </c>
      <c r="I68" s="3">
        <f>SUMIF('Keyword Results'!$A:$A,"Kosovars",'Keyword Results'!$K:$K)</f>
        <v>0</v>
      </c>
      <c r="J68" s="3">
        <f>SUMIF('Keyword Results'!$A:$A,"Kosovars",'Keyword Results'!$L:$L)</f>
        <v>0</v>
      </c>
      <c r="K68" s="3">
        <f>SUMIF('Keyword Results'!$A:$A,"Kosovars",'Keyword Results'!$M:$M)</f>
        <v>0</v>
      </c>
      <c r="L68" s="3">
        <f>SUMIF('Keyword Results'!$A:$A,"Kosovars",'Keyword Results'!$N:$N)</f>
        <v>0</v>
      </c>
      <c r="M68" s="3">
        <f>SUMIF('Keyword Results'!$A:$A,"Kosovars",'Keyword Results'!$O:$O)</f>
        <v>0</v>
      </c>
      <c r="N68" s="3">
        <f>SUMIF('Keyword Results'!$A:$A,"Kosovars",'Keyword Results'!$P:$P)</f>
        <v>0</v>
      </c>
      <c r="O68" s="3">
        <f>SUMIF('Keyword Results'!$A:$A,"Kosovars",'Keyword Results'!$Q:$Q)</f>
        <v>0</v>
      </c>
      <c r="P68" s="3">
        <f>SUMIF('Keyword Results'!$A:$A,"Kosovars",'Keyword Results'!$R:$R)</f>
        <v>0</v>
      </c>
      <c r="Q68" s="3">
        <f>SUMIF('Keyword Results'!$A:$A,"Kosovars",'Keyword Results'!$S:$S)</f>
        <v>0</v>
      </c>
      <c r="R68" s="3">
        <f>SUMIF('Keyword Results'!$A:$A,"Kosovars",'Keyword Results'!$T:$T)</f>
        <v>0</v>
      </c>
      <c r="S68" s="3">
        <f>SUMIF('Keyword Results'!$A:$A,"Kosovars",'Keyword Results'!$U:$U)</f>
        <v>0</v>
      </c>
      <c r="T68" s="3">
        <f>SUMIF('Keyword Results'!$A:$A,"Kosovars",'Keyword Results'!$V:$V)</f>
        <v>0</v>
      </c>
      <c r="U68" s="3">
        <f>SUMIF('Keyword Results'!$A:$A,"Kosovars",'Keyword Results'!$W:$W)</f>
        <v>0</v>
      </c>
      <c r="V68" s="3">
        <f>SUMIF('Keyword Results'!$A:$A,"Kosovars",'Keyword Results'!$X:$X)</f>
        <v>0</v>
      </c>
      <c r="W68" s="3">
        <f t="shared" si="1"/>
        <v>0</v>
      </c>
    </row>
    <row r="69" spans="1:23" x14ac:dyDescent="0.2">
      <c r="A69" s="2" t="s">
        <v>96</v>
      </c>
      <c r="B69" s="3">
        <f>SUMIF('Keyword Results'!$A:$A,"Kyrgyz_people",'Keyword Results'!$D:$D)</f>
        <v>7</v>
      </c>
      <c r="C69" s="3">
        <f>SUMIF('Keyword Results'!$A:$A,"Kyrgyz_people",'Keyword Results'!$E:$E)</f>
        <v>0</v>
      </c>
      <c r="D69" s="3">
        <f>SUMIF('Keyword Results'!$A:$A,"Kyrgyz_people",'Keyword Results'!$F:$F)</f>
        <v>0</v>
      </c>
      <c r="E69" s="3">
        <f>SUMIF('Keyword Results'!$A:$A,"Kyrgyz_people",'Keyword Results'!$G:$G)</f>
        <v>0</v>
      </c>
      <c r="F69" s="3">
        <f>SUMIF('Keyword Results'!$A:$A,"Kyrgyz_people",'Keyword Results'!$H:$H)</f>
        <v>0</v>
      </c>
      <c r="G69" s="3">
        <f>SUMIF('Keyword Results'!$A:$A,"Kyrgyz_people",'Keyword Results'!$I:$I)</f>
        <v>0</v>
      </c>
      <c r="H69" s="3">
        <f>SUMIF('Keyword Results'!$A:$A,"Kyrgyz_people",'Keyword Results'!$J:$J)</f>
        <v>0</v>
      </c>
      <c r="I69" s="3">
        <f>SUMIF('Keyword Results'!$A:$A,"Kyrgyz_people",'Keyword Results'!$K:$K)</f>
        <v>0</v>
      </c>
      <c r="J69" s="3">
        <f>SUMIF('Keyword Results'!$A:$A,"Kyrgyz_people",'Keyword Results'!$L:$L)</f>
        <v>0</v>
      </c>
      <c r="K69" s="3">
        <f>SUMIF('Keyword Results'!$A:$A,"Kyrgyz_people",'Keyword Results'!$M:$M)</f>
        <v>0</v>
      </c>
      <c r="L69" s="3">
        <f>SUMIF('Keyword Results'!$A:$A,"Kyrgyz_people",'Keyword Results'!$N:$N)</f>
        <v>0</v>
      </c>
      <c r="M69" s="3">
        <f>SUMIF('Keyword Results'!$A:$A,"Kyrgyz_people",'Keyword Results'!$O:$O)</f>
        <v>0</v>
      </c>
      <c r="N69" s="3">
        <f>SUMIF('Keyword Results'!$A:$A,"Kyrgyz_people",'Keyword Results'!$P:$P)</f>
        <v>0</v>
      </c>
      <c r="O69" s="3">
        <f>SUMIF('Keyword Results'!$A:$A,"Kyrgyz_people",'Keyword Results'!$Q:$Q)</f>
        <v>0</v>
      </c>
      <c r="P69" s="3">
        <f>SUMIF('Keyword Results'!$A:$A,"Kyrgyz_people",'Keyword Results'!$R:$R)</f>
        <v>0</v>
      </c>
      <c r="Q69" s="3">
        <f>SUMIF('Keyword Results'!$A:$A,"Kyrgyz_people",'Keyword Results'!$S:$S)</f>
        <v>0</v>
      </c>
      <c r="R69" s="3">
        <f>SUMIF('Keyword Results'!$A:$A,"Kyrgyz_people",'Keyword Results'!$T:$T)</f>
        <v>0</v>
      </c>
      <c r="S69" s="3">
        <f>SUMIF('Keyword Results'!$A:$A,"Kyrgyz_people",'Keyword Results'!$U:$U)</f>
        <v>0</v>
      </c>
      <c r="T69" s="3">
        <f>SUMIF('Keyword Results'!$A:$A,"Kyrgyz_people",'Keyword Results'!$V:$V)</f>
        <v>0</v>
      </c>
      <c r="U69" s="3">
        <f>SUMIF('Keyword Results'!$A:$A,"Kyrgyz_people",'Keyword Results'!$W:$W)</f>
        <v>0</v>
      </c>
      <c r="V69" s="3">
        <f>SUMIF('Keyword Results'!$A:$A,"Kyrgyz_people",'Keyword Results'!$X:$X)</f>
        <v>0</v>
      </c>
      <c r="W69" s="3">
        <f t="shared" si="1"/>
        <v>0</v>
      </c>
    </row>
    <row r="70" spans="1:23" x14ac:dyDescent="0.2">
      <c r="A70" s="2" t="s">
        <v>97</v>
      </c>
      <c r="B70" s="3">
        <f>SUMIF('Keyword Results'!$A:$A,"Lao_people",'Keyword Results'!$D:$D)</f>
        <v>6</v>
      </c>
      <c r="C70" s="3">
        <f>SUMIF('Keyword Results'!$A:$A,"Lao_people",'Keyword Results'!$E:$E)</f>
        <v>0</v>
      </c>
      <c r="D70" s="3">
        <f>SUMIF('Keyword Results'!$A:$A,"Lao_people",'Keyword Results'!$F:$F)</f>
        <v>0</v>
      </c>
      <c r="E70" s="3">
        <f>SUMIF('Keyword Results'!$A:$A,"Lao_people",'Keyword Results'!$G:$G)</f>
        <v>0</v>
      </c>
      <c r="F70" s="3">
        <f>SUMIF('Keyword Results'!$A:$A,"Lao_people",'Keyword Results'!$H:$H)</f>
        <v>0</v>
      </c>
      <c r="G70" s="3">
        <f>SUMIF('Keyword Results'!$A:$A,"Lao_people",'Keyword Results'!$I:$I)</f>
        <v>0</v>
      </c>
      <c r="H70" s="3">
        <f>SUMIF('Keyword Results'!$A:$A,"Lao_people",'Keyword Results'!$J:$J)</f>
        <v>0</v>
      </c>
      <c r="I70" s="3">
        <f>SUMIF('Keyword Results'!$A:$A,"Lao_people",'Keyword Results'!$K:$K)</f>
        <v>0</v>
      </c>
      <c r="J70" s="3">
        <f>SUMIF('Keyword Results'!$A:$A,"Lao_people",'Keyword Results'!$L:$L)</f>
        <v>0</v>
      </c>
      <c r="K70" s="3">
        <f>SUMIF('Keyword Results'!$A:$A,"Lao_people",'Keyword Results'!$M:$M)</f>
        <v>0</v>
      </c>
      <c r="L70" s="3">
        <f>SUMIF('Keyword Results'!$A:$A,"Lao_people",'Keyword Results'!$N:$N)</f>
        <v>0</v>
      </c>
      <c r="M70" s="3">
        <f>SUMIF('Keyword Results'!$A:$A,"Lao_people",'Keyword Results'!$O:$O)</f>
        <v>0</v>
      </c>
      <c r="N70" s="3">
        <f>SUMIF('Keyword Results'!$A:$A,"Lao_people",'Keyword Results'!$P:$P)</f>
        <v>0</v>
      </c>
      <c r="O70" s="3">
        <f>SUMIF('Keyword Results'!$A:$A,"Lao_people",'Keyword Results'!$Q:$Q)</f>
        <v>0</v>
      </c>
      <c r="P70" s="3">
        <f>SUMIF('Keyword Results'!$A:$A,"Lao_people",'Keyword Results'!$R:$R)</f>
        <v>0</v>
      </c>
      <c r="Q70" s="3">
        <f>SUMIF('Keyword Results'!$A:$A,"Lao_people",'Keyword Results'!$S:$S)</f>
        <v>0</v>
      </c>
      <c r="R70" s="3">
        <f>SUMIF('Keyword Results'!$A:$A,"Lao_people",'Keyword Results'!$T:$T)</f>
        <v>0</v>
      </c>
      <c r="S70" s="3">
        <f>SUMIF('Keyword Results'!$A:$A,"Lao_people",'Keyword Results'!$U:$U)</f>
        <v>0</v>
      </c>
      <c r="T70" s="3">
        <f>SUMIF('Keyword Results'!$A:$A,"Lao_people",'Keyword Results'!$V:$V)</f>
        <v>0</v>
      </c>
      <c r="U70" s="3">
        <f>SUMIF('Keyword Results'!$A:$A,"Lao_people",'Keyword Results'!$W:$W)</f>
        <v>0</v>
      </c>
      <c r="V70" s="3">
        <f>SUMIF('Keyword Results'!$A:$A,"Lao_people",'Keyword Results'!$X:$X)</f>
        <v>0</v>
      </c>
      <c r="W70" s="3">
        <f t="shared" si="1"/>
        <v>0</v>
      </c>
    </row>
    <row r="71" spans="1:23" x14ac:dyDescent="0.2">
      <c r="A71" s="2" t="s">
        <v>98</v>
      </c>
      <c r="B71" s="3">
        <f>SUMIF('Keyword Results'!$A:$A,"Latvians",'Keyword Results'!$D:$D)</f>
        <v>6</v>
      </c>
      <c r="C71" s="3">
        <f>SUMIF('Keyword Results'!$A:$A,"Latvians",'Keyword Results'!$E:$E)</f>
        <v>1</v>
      </c>
      <c r="D71" s="3">
        <f>SUMIF('Keyword Results'!$A:$A,"Latvians",'Keyword Results'!$F:$F)</f>
        <v>0</v>
      </c>
      <c r="E71" s="3">
        <f>SUMIF('Keyword Results'!$A:$A,"Latvians",'Keyword Results'!$G:$G)</f>
        <v>0</v>
      </c>
      <c r="F71" s="3">
        <f>SUMIF('Keyword Results'!$A:$A,"Latvians",'Keyword Results'!$H:$H)</f>
        <v>0</v>
      </c>
      <c r="G71" s="3">
        <f>SUMIF('Keyword Results'!$A:$A,"Latvians",'Keyword Results'!$I:$I)</f>
        <v>0</v>
      </c>
      <c r="H71" s="3">
        <f>SUMIF('Keyword Results'!$A:$A,"Latvians",'Keyword Results'!$J:$J)</f>
        <v>0</v>
      </c>
      <c r="I71" s="3">
        <f>SUMIF('Keyword Results'!$A:$A,"Latvians",'Keyword Results'!$K:$K)</f>
        <v>0</v>
      </c>
      <c r="J71" s="3">
        <f>SUMIF('Keyword Results'!$A:$A,"Latvians",'Keyword Results'!$L:$L)</f>
        <v>0</v>
      </c>
      <c r="K71" s="3">
        <f>SUMIF('Keyword Results'!$A:$A,"Latvians",'Keyword Results'!$M:$M)</f>
        <v>0</v>
      </c>
      <c r="L71" s="3">
        <f>SUMIF('Keyword Results'!$A:$A,"Latvians",'Keyword Results'!$N:$N)</f>
        <v>0</v>
      </c>
      <c r="M71" s="3">
        <f>SUMIF('Keyword Results'!$A:$A,"Latvians",'Keyword Results'!$O:$O)</f>
        <v>0</v>
      </c>
      <c r="N71" s="3">
        <f>SUMIF('Keyword Results'!$A:$A,"Latvians",'Keyword Results'!$P:$P)</f>
        <v>0</v>
      </c>
      <c r="O71" s="3">
        <f>SUMIF('Keyword Results'!$A:$A,"Latvians",'Keyword Results'!$Q:$Q)</f>
        <v>0</v>
      </c>
      <c r="P71" s="3">
        <f>SUMIF('Keyword Results'!$A:$A,"Latvians",'Keyword Results'!$R:$R)</f>
        <v>0</v>
      </c>
      <c r="Q71" s="3">
        <f>SUMIF('Keyword Results'!$A:$A,"Latvians",'Keyword Results'!$S:$S)</f>
        <v>0</v>
      </c>
      <c r="R71" s="3">
        <f>SUMIF('Keyword Results'!$A:$A,"Latvians",'Keyword Results'!$T:$T)</f>
        <v>0</v>
      </c>
      <c r="S71" s="3">
        <f>SUMIF('Keyword Results'!$A:$A,"Latvians",'Keyword Results'!$U:$U)</f>
        <v>0</v>
      </c>
      <c r="T71" s="3">
        <f>SUMIF('Keyword Results'!$A:$A,"Latvians",'Keyword Results'!$V:$V)</f>
        <v>0</v>
      </c>
      <c r="U71" s="3">
        <f>SUMIF('Keyword Results'!$A:$A,"Latvians",'Keyword Results'!$W:$W)</f>
        <v>0</v>
      </c>
      <c r="V71" s="3">
        <f>SUMIF('Keyword Results'!$A:$A,"Latvians",'Keyword Results'!$X:$X)</f>
        <v>0</v>
      </c>
      <c r="W71" s="3">
        <f t="shared" si="1"/>
        <v>1</v>
      </c>
    </row>
    <row r="72" spans="1:23" x14ac:dyDescent="0.2">
      <c r="A72" s="2" t="s">
        <v>99</v>
      </c>
      <c r="B72" s="3">
        <f>SUMIF('Keyword Results'!$A:$A,"Lebanese_people",'Keyword Results'!$D:$D)</f>
        <v>5</v>
      </c>
      <c r="C72" s="3">
        <f>SUMIF('Keyword Results'!$A:$A,"Lebanese_people",'Keyword Results'!$E:$E)</f>
        <v>7</v>
      </c>
      <c r="D72" s="3">
        <f>SUMIF('Keyword Results'!$A:$A,"Lebanese_people",'Keyword Results'!$F:$F)</f>
        <v>0</v>
      </c>
      <c r="E72" s="3">
        <f>SUMIF('Keyword Results'!$A:$A,"Lebanese_people",'Keyword Results'!$G:$G)</f>
        <v>1</v>
      </c>
      <c r="F72" s="3">
        <f>SUMIF('Keyword Results'!$A:$A,"Lebanese_people",'Keyword Results'!$H:$H)</f>
        <v>0</v>
      </c>
      <c r="G72" s="3">
        <f>SUMIF('Keyword Results'!$A:$A,"Lebanese_people",'Keyword Results'!$I:$I)</f>
        <v>0</v>
      </c>
      <c r="H72" s="3">
        <f>SUMIF('Keyword Results'!$A:$A,"Lebanese_people",'Keyword Results'!$J:$J)</f>
        <v>0</v>
      </c>
      <c r="I72" s="3">
        <f>SUMIF('Keyword Results'!$A:$A,"Lebanese_people",'Keyword Results'!$K:$K)</f>
        <v>0</v>
      </c>
      <c r="J72" s="3">
        <f>SUMIF('Keyword Results'!$A:$A,"Lebanese_people",'Keyword Results'!$L:$L)</f>
        <v>0</v>
      </c>
      <c r="K72" s="3">
        <f>SUMIF('Keyword Results'!$A:$A,"Lebanese_people",'Keyword Results'!$M:$M)</f>
        <v>0</v>
      </c>
      <c r="L72" s="3">
        <f>SUMIF('Keyword Results'!$A:$A,"Lebanese_people",'Keyword Results'!$N:$N)</f>
        <v>0</v>
      </c>
      <c r="M72" s="3">
        <f>SUMIF('Keyword Results'!$A:$A,"Lebanese_people",'Keyword Results'!$O:$O)</f>
        <v>0</v>
      </c>
      <c r="N72" s="3">
        <f>SUMIF('Keyword Results'!$A:$A,"Lebanese_people",'Keyword Results'!$P:$P)</f>
        <v>0</v>
      </c>
      <c r="O72" s="3">
        <f>SUMIF('Keyword Results'!$A:$A,"Lebanese_people",'Keyword Results'!$Q:$Q)</f>
        <v>0</v>
      </c>
      <c r="P72" s="3">
        <f>SUMIF('Keyword Results'!$A:$A,"Lebanese_people",'Keyword Results'!$R:$R)</f>
        <v>0</v>
      </c>
      <c r="Q72" s="3">
        <f>SUMIF('Keyword Results'!$A:$A,"Lebanese_people",'Keyword Results'!$S:$S)</f>
        <v>0</v>
      </c>
      <c r="R72" s="3">
        <f>SUMIF('Keyword Results'!$A:$A,"Lebanese_people",'Keyword Results'!$T:$T)</f>
        <v>0</v>
      </c>
      <c r="S72" s="3">
        <f>SUMIF('Keyword Results'!$A:$A,"Lebanese_people",'Keyword Results'!$U:$U)</f>
        <v>0</v>
      </c>
      <c r="T72" s="3">
        <f>SUMIF('Keyword Results'!$A:$A,"Lebanese_people",'Keyword Results'!$V:$V)</f>
        <v>0</v>
      </c>
      <c r="U72" s="3">
        <f>SUMIF('Keyword Results'!$A:$A,"Lebanese_people",'Keyword Results'!$W:$W)</f>
        <v>0</v>
      </c>
      <c r="V72" s="3">
        <f>SUMIF('Keyword Results'!$A:$A,"Lebanese_people",'Keyword Results'!$X:$X)</f>
        <v>0</v>
      </c>
      <c r="W72" s="3">
        <f t="shared" si="1"/>
        <v>8</v>
      </c>
    </row>
    <row r="73" spans="1:23" x14ac:dyDescent="0.2">
      <c r="A73" s="2" t="s">
        <v>100</v>
      </c>
      <c r="B73" s="3">
        <f>SUMIF('Keyword Results'!$A:$A,"Liechtensteiners",'Keyword Results'!$D:$D)</f>
        <v>7</v>
      </c>
      <c r="C73" s="3">
        <f>SUMIF('Keyword Results'!$A:$A,"Liechtensteiners",'Keyword Results'!$E:$E)</f>
        <v>0</v>
      </c>
      <c r="D73" s="3">
        <f>SUMIF('Keyword Results'!$A:$A,"Liechtensteiners",'Keyword Results'!$F:$F)</f>
        <v>0</v>
      </c>
      <c r="E73" s="3">
        <f>SUMIF('Keyword Results'!$A:$A,"Liechtensteiners",'Keyword Results'!$G:$G)</f>
        <v>0</v>
      </c>
      <c r="F73" s="3">
        <f>SUMIF('Keyword Results'!$A:$A,"Liechtensteiners",'Keyword Results'!$H:$H)</f>
        <v>0</v>
      </c>
      <c r="G73" s="3">
        <f>SUMIF('Keyword Results'!$A:$A,"Liechtensteiners",'Keyword Results'!$I:$I)</f>
        <v>0</v>
      </c>
      <c r="H73" s="3">
        <f>SUMIF('Keyword Results'!$A:$A,"Liechtensteiners",'Keyword Results'!$J:$J)</f>
        <v>0</v>
      </c>
      <c r="I73" s="3">
        <f>SUMIF('Keyword Results'!$A:$A,"Liechtensteiners",'Keyword Results'!$K:$K)</f>
        <v>0</v>
      </c>
      <c r="J73" s="3">
        <f>SUMIF('Keyword Results'!$A:$A,"Liechtensteiners",'Keyword Results'!$L:$L)</f>
        <v>0</v>
      </c>
      <c r="K73" s="3">
        <f>SUMIF('Keyword Results'!$A:$A,"Liechtensteiners",'Keyword Results'!$M:$M)</f>
        <v>0</v>
      </c>
      <c r="L73" s="3">
        <f>SUMIF('Keyword Results'!$A:$A,"Liechtensteiners",'Keyword Results'!$N:$N)</f>
        <v>0</v>
      </c>
      <c r="M73" s="3">
        <f>SUMIF('Keyword Results'!$A:$A,"Liechtensteiners",'Keyword Results'!$O:$O)</f>
        <v>0</v>
      </c>
      <c r="N73" s="3">
        <f>SUMIF('Keyword Results'!$A:$A,"Liechtensteiners",'Keyword Results'!$P:$P)</f>
        <v>0</v>
      </c>
      <c r="O73" s="3">
        <f>SUMIF('Keyword Results'!$A:$A,"Liechtensteiners",'Keyword Results'!$Q:$Q)</f>
        <v>0</v>
      </c>
      <c r="P73" s="3">
        <f>SUMIF('Keyword Results'!$A:$A,"Liechtensteiners",'Keyword Results'!$R:$R)</f>
        <v>0</v>
      </c>
      <c r="Q73" s="3">
        <f>SUMIF('Keyword Results'!$A:$A,"Liechtensteiners",'Keyword Results'!$S:$S)</f>
        <v>0</v>
      </c>
      <c r="R73" s="3">
        <f>SUMIF('Keyword Results'!$A:$A,"Liechtensteiners",'Keyword Results'!$T:$T)</f>
        <v>0</v>
      </c>
      <c r="S73" s="3">
        <f>SUMIF('Keyword Results'!$A:$A,"Liechtensteiners",'Keyword Results'!$U:$U)</f>
        <v>0</v>
      </c>
      <c r="T73" s="3">
        <f>SUMIF('Keyword Results'!$A:$A,"Liechtensteiners",'Keyword Results'!$V:$V)</f>
        <v>0</v>
      </c>
      <c r="U73" s="3">
        <f>SUMIF('Keyword Results'!$A:$A,"Liechtensteiners",'Keyword Results'!$W:$W)</f>
        <v>0</v>
      </c>
      <c r="V73" s="3">
        <f>SUMIF('Keyword Results'!$A:$A,"Liechtensteiners",'Keyword Results'!$X:$X)</f>
        <v>0</v>
      </c>
      <c r="W73" s="3">
        <f t="shared" si="1"/>
        <v>0</v>
      </c>
    </row>
    <row r="74" spans="1:23" x14ac:dyDescent="0.2">
      <c r="A74" s="2" t="s">
        <v>101</v>
      </c>
      <c r="B74" s="3">
        <f>SUMIF('Keyword Results'!$A:$A,"Lithuanians",'Keyword Results'!$D:$D)</f>
        <v>9</v>
      </c>
      <c r="C74" s="3">
        <f>SUMIF('Keyword Results'!$A:$A,"Lithuanians",'Keyword Results'!$E:$E)</f>
        <v>0</v>
      </c>
      <c r="D74" s="3">
        <f>SUMIF('Keyword Results'!$A:$A,"Lithuanians",'Keyword Results'!$F:$F)</f>
        <v>0</v>
      </c>
      <c r="E74" s="3">
        <f>SUMIF('Keyword Results'!$A:$A,"Lithuanians",'Keyword Results'!$G:$G)</f>
        <v>0</v>
      </c>
      <c r="F74" s="3">
        <f>SUMIF('Keyword Results'!$A:$A,"Lithuanians",'Keyword Results'!$H:$H)</f>
        <v>0</v>
      </c>
      <c r="G74" s="3">
        <f>SUMIF('Keyword Results'!$A:$A,"Lithuanians",'Keyword Results'!$I:$I)</f>
        <v>0</v>
      </c>
      <c r="H74" s="3">
        <f>SUMIF('Keyword Results'!$A:$A,"Lithuanians",'Keyword Results'!$J:$J)</f>
        <v>0</v>
      </c>
      <c r="I74" s="3">
        <f>SUMIF('Keyword Results'!$A:$A,"Lithuanians",'Keyword Results'!$K:$K)</f>
        <v>0</v>
      </c>
      <c r="J74" s="3">
        <f>SUMIF('Keyword Results'!$A:$A,"Lithuanians",'Keyword Results'!$L:$L)</f>
        <v>0</v>
      </c>
      <c r="K74" s="3">
        <f>SUMIF('Keyword Results'!$A:$A,"Lithuanians",'Keyword Results'!$M:$M)</f>
        <v>0</v>
      </c>
      <c r="L74" s="3">
        <f>SUMIF('Keyword Results'!$A:$A,"Lithuanians",'Keyword Results'!$N:$N)</f>
        <v>0</v>
      </c>
      <c r="M74" s="3">
        <f>SUMIF('Keyword Results'!$A:$A,"Lithuanians",'Keyword Results'!$O:$O)</f>
        <v>0</v>
      </c>
      <c r="N74" s="3">
        <f>SUMIF('Keyword Results'!$A:$A,"Lithuanians",'Keyword Results'!$P:$P)</f>
        <v>0</v>
      </c>
      <c r="O74" s="3">
        <f>SUMIF('Keyword Results'!$A:$A,"Lithuanians",'Keyword Results'!$Q:$Q)</f>
        <v>0</v>
      </c>
      <c r="P74" s="3">
        <f>SUMIF('Keyword Results'!$A:$A,"Lithuanians",'Keyword Results'!$R:$R)</f>
        <v>0</v>
      </c>
      <c r="Q74" s="3">
        <f>SUMIF('Keyword Results'!$A:$A,"Lithuanians",'Keyword Results'!$S:$S)</f>
        <v>0</v>
      </c>
      <c r="R74" s="3">
        <f>SUMIF('Keyword Results'!$A:$A,"Lithuanians",'Keyword Results'!$T:$T)</f>
        <v>0</v>
      </c>
      <c r="S74" s="3">
        <f>SUMIF('Keyword Results'!$A:$A,"Lithuanians",'Keyword Results'!$U:$U)</f>
        <v>0</v>
      </c>
      <c r="T74" s="3">
        <f>SUMIF('Keyword Results'!$A:$A,"Lithuanians",'Keyword Results'!$V:$V)</f>
        <v>0</v>
      </c>
      <c r="U74" s="3">
        <f>SUMIF('Keyword Results'!$A:$A,"Lithuanians",'Keyword Results'!$W:$W)</f>
        <v>0</v>
      </c>
      <c r="V74" s="3">
        <f>SUMIF('Keyword Results'!$A:$A,"Lithuanians",'Keyword Results'!$X:$X)</f>
        <v>0</v>
      </c>
      <c r="W74" s="3">
        <f t="shared" si="1"/>
        <v>0</v>
      </c>
    </row>
    <row r="75" spans="1:23" x14ac:dyDescent="0.2">
      <c r="A75" s="2" t="s">
        <v>102</v>
      </c>
      <c r="B75" s="3">
        <f>SUMIF('Keyword Results'!$A:$A,"Luxembourgers",'Keyword Results'!$D:$D)</f>
        <v>11</v>
      </c>
      <c r="C75" s="3">
        <f>SUMIF('Keyword Results'!$A:$A,"Luxembourgers",'Keyword Results'!$E:$E)</f>
        <v>0</v>
      </c>
      <c r="D75" s="3">
        <f>SUMIF('Keyword Results'!$A:$A,"Luxembourgers",'Keyword Results'!$F:$F)</f>
        <v>0</v>
      </c>
      <c r="E75" s="3">
        <f>SUMIF('Keyword Results'!$A:$A,"Luxembourgers",'Keyword Results'!$G:$G)</f>
        <v>0</v>
      </c>
      <c r="F75" s="3">
        <f>SUMIF('Keyword Results'!$A:$A,"Luxembourgers",'Keyword Results'!$H:$H)</f>
        <v>0</v>
      </c>
      <c r="G75" s="3">
        <f>SUMIF('Keyword Results'!$A:$A,"Luxembourgers",'Keyword Results'!$I:$I)</f>
        <v>0</v>
      </c>
      <c r="H75" s="3">
        <f>SUMIF('Keyword Results'!$A:$A,"Luxembourgers",'Keyword Results'!$J:$J)</f>
        <v>0</v>
      </c>
      <c r="I75" s="3">
        <f>SUMIF('Keyword Results'!$A:$A,"Luxembourgers",'Keyword Results'!$K:$K)</f>
        <v>0</v>
      </c>
      <c r="J75" s="3">
        <f>SUMIF('Keyword Results'!$A:$A,"Luxembourgers",'Keyword Results'!$L:$L)</f>
        <v>0</v>
      </c>
      <c r="K75" s="3">
        <f>SUMIF('Keyword Results'!$A:$A,"Luxembourgers",'Keyword Results'!$M:$M)</f>
        <v>0</v>
      </c>
      <c r="L75" s="3">
        <f>SUMIF('Keyword Results'!$A:$A,"Luxembourgers",'Keyword Results'!$N:$N)</f>
        <v>0</v>
      </c>
      <c r="M75" s="3">
        <f>SUMIF('Keyword Results'!$A:$A,"Luxembourgers",'Keyword Results'!$O:$O)</f>
        <v>0</v>
      </c>
      <c r="N75" s="3">
        <f>SUMIF('Keyword Results'!$A:$A,"Luxembourgers",'Keyword Results'!$P:$P)</f>
        <v>0</v>
      </c>
      <c r="O75" s="3">
        <f>SUMIF('Keyword Results'!$A:$A,"Luxembourgers",'Keyword Results'!$Q:$Q)</f>
        <v>0</v>
      </c>
      <c r="P75" s="3">
        <f>SUMIF('Keyword Results'!$A:$A,"Luxembourgers",'Keyword Results'!$R:$R)</f>
        <v>0</v>
      </c>
      <c r="Q75" s="3">
        <f>SUMIF('Keyword Results'!$A:$A,"Luxembourgers",'Keyword Results'!$S:$S)</f>
        <v>0</v>
      </c>
      <c r="R75" s="3">
        <f>SUMIF('Keyword Results'!$A:$A,"Luxembourgers",'Keyword Results'!$T:$T)</f>
        <v>0</v>
      </c>
      <c r="S75" s="3">
        <f>SUMIF('Keyword Results'!$A:$A,"Luxembourgers",'Keyword Results'!$U:$U)</f>
        <v>0</v>
      </c>
      <c r="T75" s="3">
        <f>SUMIF('Keyword Results'!$A:$A,"Luxembourgers",'Keyword Results'!$V:$V)</f>
        <v>0</v>
      </c>
      <c r="U75" s="3">
        <f>SUMIF('Keyword Results'!$A:$A,"Luxembourgers",'Keyword Results'!$W:$W)</f>
        <v>0</v>
      </c>
      <c r="V75" s="3">
        <f>SUMIF('Keyword Results'!$A:$A,"Luxembourgers",'Keyword Results'!$X:$X)</f>
        <v>0</v>
      </c>
      <c r="W75" s="3">
        <f t="shared" si="1"/>
        <v>0</v>
      </c>
    </row>
    <row r="76" spans="1:23" x14ac:dyDescent="0.2">
      <c r="A76" s="2" t="s">
        <v>103</v>
      </c>
      <c r="B76" s="3">
        <f>SUMIF('Keyword Results'!$A:$A,"Macedonians_(ethnic_group)",'Keyword Results'!$D:$D)</f>
        <v>8</v>
      </c>
      <c r="C76" s="3">
        <f>SUMIF('Keyword Results'!$A:$A,"Macedonians_(ethnic_group)",'Keyword Results'!$E:$E)</f>
        <v>0</v>
      </c>
      <c r="D76" s="3">
        <f>SUMIF('Keyword Results'!$A:$A,"Macedonians_(ethnic_group)",'Keyword Results'!$F:$F)</f>
        <v>0</v>
      </c>
      <c r="E76" s="3">
        <f>SUMIF('Keyword Results'!$A:$A,"Macedonians_(ethnic_group)",'Keyword Results'!$G:$G)</f>
        <v>0</v>
      </c>
      <c r="F76" s="3">
        <f>SUMIF('Keyword Results'!$A:$A,"Macedonians_(ethnic_group)",'Keyword Results'!$H:$H)</f>
        <v>0</v>
      </c>
      <c r="G76" s="3">
        <f>SUMIF('Keyword Results'!$A:$A,"Macedonians_(ethnic_group)",'Keyword Results'!$I:$I)</f>
        <v>0</v>
      </c>
      <c r="H76" s="3">
        <f>SUMIF('Keyword Results'!$A:$A,"Macedonians_(ethnic_group)",'Keyword Results'!$J:$J)</f>
        <v>0</v>
      </c>
      <c r="I76" s="3">
        <f>SUMIF('Keyword Results'!$A:$A,"Macedonians_(ethnic_group)",'Keyword Results'!$K:$K)</f>
        <v>0</v>
      </c>
      <c r="J76" s="3">
        <f>SUMIF('Keyword Results'!$A:$A,"Macedonians_(ethnic_group)",'Keyword Results'!$L:$L)</f>
        <v>0</v>
      </c>
      <c r="K76" s="3">
        <f>SUMIF('Keyword Results'!$A:$A,"Macedonians_(ethnic_group)",'Keyword Results'!$M:$M)</f>
        <v>0</v>
      </c>
      <c r="L76" s="3">
        <f>SUMIF('Keyword Results'!$A:$A,"Macedonians_(ethnic_group)",'Keyword Results'!$N:$N)</f>
        <v>0</v>
      </c>
      <c r="M76" s="3">
        <f>SUMIF('Keyword Results'!$A:$A,"Macedonians_(ethnic_group)",'Keyword Results'!$O:$O)</f>
        <v>0</v>
      </c>
      <c r="N76" s="3">
        <f>SUMIF('Keyword Results'!$A:$A,"Macedonians_(ethnic_group)",'Keyword Results'!$P:$P)</f>
        <v>0</v>
      </c>
      <c r="O76" s="3">
        <f>SUMIF('Keyword Results'!$A:$A,"Macedonians_(ethnic_group)",'Keyword Results'!$Q:$Q)</f>
        <v>0</v>
      </c>
      <c r="P76" s="3">
        <f>SUMIF('Keyword Results'!$A:$A,"Macedonians_(ethnic_group)",'Keyword Results'!$R:$R)</f>
        <v>0</v>
      </c>
      <c r="Q76" s="3">
        <f>SUMIF('Keyword Results'!$A:$A,"Macedonians_(ethnic_group)",'Keyword Results'!$S:$S)</f>
        <v>0</v>
      </c>
      <c r="R76" s="3">
        <f>SUMIF('Keyword Results'!$A:$A,"Macedonians_(ethnic_group)",'Keyword Results'!$T:$T)</f>
        <v>0</v>
      </c>
      <c r="S76" s="3">
        <f>SUMIF('Keyword Results'!$A:$A,"Macedonians_(ethnic_group)",'Keyword Results'!$U:$U)</f>
        <v>0</v>
      </c>
      <c r="T76" s="3">
        <f>SUMIF('Keyword Results'!$A:$A,"Macedonians_(ethnic_group)",'Keyword Results'!$V:$V)</f>
        <v>0</v>
      </c>
      <c r="U76" s="3">
        <f>SUMIF('Keyword Results'!$A:$A,"Macedonians_(ethnic_group)",'Keyword Results'!$W:$W)</f>
        <v>0</v>
      </c>
      <c r="V76" s="3">
        <f>SUMIF('Keyword Results'!$A:$A,"Macedonians_(ethnic_group)",'Keyword Results'!$X:$X)</f>
        <v>0</v>
      </c>
      <c r="W76" s="3">
        <f t="shared" si="1"/>
        <v>0</v>
      </c>
    </row>
    <row r="77" spans="1:23" x14ac:dyDescent="0.2">
      <c r="A77" s="2" t="s">
        <v>104</v>
      </c>
      <c r="B77" s="3">
        <f>SUMIF('Keyword Results'!$A:$A,"Malagasy_peoples",'Keyword Results'!$D:$D)</f>
        <v>10</v>
      </c>
      <c r="C77" s="3">
        <f>SUMIF('Keyword Results'!$A:$A,"Malagasy_peoples",'Keyword Results'!$E:$E)</f>
        <v>4</v>
      </c>
      <c r="D77" s="3">
        <f>SUMIF('Keyword Results'!$A:$A,"Malagasy_peoples",'Keyword Results'!$F:$F)</f>
        <v>0</v>
      </c>
      <c r="E77" s="3">
        <f>SUMIF('Keyword Results'!$A:$A,"Malagasy_peoples",'Keyword Results'!$G:$G)</f>
        <v>0</v>
      </c>
      <c r="F77" s="3">
        <f>SUMIF('Keyword Results'!$A:$A,"Malagasy_peoples",'Keyword Results'!$H:$H)</f>
        <v>0</v>
      </c>
      <c r="G77" s="3">
        <f>SUMIF('Keyword Results'!$A:$A,"Malagasy_peoples",'Keyword Results'!$I:$I)</f>
        <v>0</v>
      </c>
      <c r="H77" s="3">
        <f>SUMIF('Keyword Results'!$A:$A,"Malagasy_peoples",'Keyword Results'!$J:$J)</f>
        <v>0</v>
      </c>
      <c r="I77" s="3">
        <f>SUMIF('Keyword Results'!$A:$A,"Malagasy_peoples",'Keyword Results'!$K:$K)</f>
        <v>0</v>
      </c>
      <c r="J77" s="3">
        <f>SUMIF('Keyword Results'!$A:$A,"Malagasy_peoples",'Keyword Results'!$L:$L)</f>
        <v>1</v>
      </c>
      <c r="K77" s="3">
        <f>SUMIF('Keyword Results'!$A:$A,"Malagasy_peoples",'Keyword Results'!$M:$M)</f>
        <v>0</v>
      </c>
      <c r="L77" s="3">
        <f>SUMIF('Keyword Results'!$A:$A,"Malagasy_peoples",'Keyword Results'!$N:$N)</f>
        <v>0</v>
      </c>
      <c r="M77" s="3">
        <f>SUMIF('Keyword Results'!$A:$A,"Malagasy_peoples",'Keyword Results'!$O:$O)</f>
        <v>0</v>
      </c>
      <c r="N77" s="3">
        <f>SUMIF('Keyword Results'!$A:$A,"Malagasy_peoples",'Keyword Results'!$P:$P)</f>
        <v>0</v>
      </c>
      <c r="O77" s="3">
        <f>SUMIF('Keyword Results'!$A:$A,"Malagasy_peoples",'Keyword Results'!$Q:$Q)</f>
        <v>0</v>
      </c>
      <c r="P77" s="3">
        <f>SUMIF('Keyword Results'!$A:$A,"Malagasy_peoples",'Keyword Results'!$R:$R)</f>
        <v>0</v>
      </c>
      <c r="Q77" s="3">
        <f>SUMIF('Keyword Results'!$A:$A,"Malagasy_peoples",'Keyword Results'!$S:$S)</f>
        <v>0</v>
      </c>
      <c r="R77" s="3">
        <f>SUMIF('Keyword Results'!$A:$A,"Malagasy_peoples",'Keyword Results'!$T:$T)</f>
        <v>0</v>
      </c>
      <c r="S77" s="3">
        <f>SUMIF('Keyword Results'!$A:$A,"Malagasy_peoples",'Keyword Results'!$U:$U)</f>
        <v>0</v>
      </c>
      <c r="T77" s="3">
        <f>SUMIF('Keyword Results'!$A:$A,"Malagasy_peoples",'Keyword Results'!$V:$V)</f>
        <v>0</v>
      </c>
      <c r="U77" s="3">
        <f>SUMIF('Keyword Results'!$A:$A,"Malagasy_peoples",'Keyword Results'!$W:$W)</f>
        <v>0</v>
      </c>
      <c r="V77" s="3">
        <f>SUMIF('Keyword Results'!$A:$A,"Malagasy_peoples",'Keyword Results'!$X:$X)</f>
        <v>0</v>
      </c>
      <c r="W77" s="3">
        <f t="shared" si="1"/>
        <v>5</v>
      </c>
    </row>
    <row r="78" spans="1:23" x14ac:dyDescent="0.2">
      <c r="A78" s="2" t="s">
        <v>105</v>
      </c>
      <c r="B78" s="3">
        <f>SUMIF('Keyword Results'!$A:$A,"Malaysians",'Keyword Results'!$D:$D)</f>
        <v>4</v>
      </c>
      <c r="C78" s="3">
        <f>SUMIF('Keyword Results'!$A:$A,"Malaysians",'Keyword Results'!$E:$E)</f>
        <v>0</v>
      </c>
      <c r="D78" s="3">
        <f>SUMIF('Keyword Results'!$A:$A,"Malaysians",'Keyword Results'!$F:$F)</f>
        <v>0</v>
      </c>
      <c r="E78" s="3">
        <f>SUMIF('Keyword Results'!$A:$A,"Malaysians",'Keyword Results'!$G:$G)</f>
        <v>0</v>
      </c>
      <c r="F78" s="3">
        <f>SUMIF('Keyword Results'!$A:$A,"Malaysians",'Keyword Results'!$H:$H)</f>
        <v>0</v>
      </c>
      <c r="G78" s="3">
        <f>SUMIF('Keyword Results'!$A:$A,"Malaysians",'Keyword Results'!$I:$I)</f>
        <v>0</v>
      </c>
      <c r="H78" s="3">
        <f>SUMIF('Keyword Results'!$A:$A,"Malaysians",'Keyword Results'!$J:$J)</f>
        <v>0</v>
      </c>
      <c r="I78" s="3">
        <f>SUMIF('Keyword Results'!$A:$A,"Malaysians",'Keyword Results'!$K:$K)</f>
        <v>0</v>
      </c>
      <c r="J78" s="3">
        <f>SUMIF('Keyword Results'!$A:$A,"Malaysians",'Keyword Results'!$L:$L)</f>
        <v>0</v>
      </c>
      <c r="K78" s="3">
        <f>SUMIF('Keyword Results'!$A:$A,"Malaysians",'Keyword Results'!$M:$M)</f>
        <v>0</v>
      </c>
      <c r="L78" s="3">
        <f>SUMIF('Keyword Results'!$A:$A,"Malaysians",'Keyword Results'!$N:$N)</f>
        <v>0</v>
      </c>
      <c r="M78" s="3">
        <f>SUMIF('Keyword Results'!$A:$A,"Malaysians",'Keyword Results'!$O:$O)</f>
        <v>0</v>
      </c>
      <c r="N78" s="3">
        <f>SUMIF('Keyword Results'!$A:$A,"Malaysians",'Keyword Results'!$P:$P)</f>
        <v>0</v>
      </c>
      <c r="O78" s="3">
        <f>SUMIF('Keyword Results'!$A:$A,"Malaysians",'Keyword Results'!$Q:$Q)</f>
        <v>0</v>
      </c>
      <c r="P78" s="3">
        <f>SUMIF('Keyword Results'!$A:$A,"Malaysians",'Keyword Results'!$R:$R)</f>
        <v>0</v>
      </c>
      <c r="Q78" s="3">
        <f>SUMIF('Keyword Results'!$A:$A,"Malaysians",'Keyword Results'!$S:$S)</f>
        <v>0</v>
      </c>
      <c r="R78" s="3">
        <f>SUMIF('Keyword Results'!$A:$A,"Malaysians",'Keyword Results'!$T:$T)</f>
        <v>0</v>
      </c>
      <c r="S78" s="3">
        <f>SUMIF('Keyword Results'!$A:$A,"Malaysians",'Keyword Results'!$U:$U)</f>
        <v>0</v>
      </c>
      <c r="T78" s="3">
        <f>SUMIF('Keyword Results'!$A:$A,"Malaysians",'Keyword Results'!$V:$V)</f>
        <v>0</v>
      </c>
      <c r="U78" s="3">
        <f>SUMIF('Keyword Results'!$A:$A,"Malaysians",'Keyword Results'!$W:$W)</f>
        <v>0</v>
      </c>
      <c r="V78" s="3">
        <f>SUMIF('Keyword Results'!$A:$A,"Malaysians",'Keyword Results'!$X:$X)</f>
        <v>0</v>
      </c>
      <c r="W78" s="3">
        <f t="shared" si="1"/>
        <v>0</v>
      </c>
    </row>
    <row r="79" spans="1:23" x14ac:dyDescent="0.2">
      <c r="A79" s="2" t="s">
        <v>106</v>
      </c>
      <c r="B79" s="3">
        <f>SUMIF('Keyword Results'!$A:$A,"Maldivians",'Keyword Results'!$D:$D)</f>
        <v>11</v>
      </c>
      <c r="C79" s="3">
        <f>SUMIF('Keyword Results'!$A:$A,"Maldivians",'Keyword Results'!$E:$E)</f>
        <v>2</v>
      </c>
      <c r="D79" s="3">
        <f>SUMIF('Keyword Results'!$A:$A,"Maldivians",'Keyword Results'!$F:$F)</f>
        <v>0</v>
      </c>
      <c r="E79" s="3">
        <f>SUMIF('Keyword Results'!$A:$A,"Maldivians",'Keyword Results'!$G:$G)</f>
        <v>0</v>
      </c>
      <c r="F79" s="3">
        <f>SUMIF('Keyword Results'!$A:$A,"Maldivians",'Keyword Results'!$H:$H)</f>
        <v>0</v>
      </c>
      <c r="G79" s="3">
        <f>SUMIF('Keyword Results'!$A:$A,"Maldivians",'Keyword Results'!$I:$I)</f>
        <v>0</v>
      </c>
      <c r="H79" s="3">
        <f>SUMIF('Keyword Results'!$A:$A,"Maldivians",'Keyword Results'!$J:$J)</f>
        <v>0</v>
      </c>
      <c r="I79" s="3">
        <f>SUMIF('Keyword Results'!$A:$A,"Maldivians",'Keyword Results'!$K:$K)</f>
        <v>0</v>
      </c>
      <c r="J79" s="3">
        <f>SUMIF('Keyword Results'!$A:$A,"Maldivians",'Keyword Results'!$L:$L)</f>
        <v>0</v>
      </c>
      <c r="K79" s="3">
        <f>SUMIF('Keyword Results'!$A:$A,"Maldivians",'Keyword Results'!$M:$M)</f>
        <v>0</v>
      </c>
      <c r="L79" s="3">
        <f>SUMIF('Keyword Results'!$A:$A,"Maldivians",'Keyword Results'!$N:$N)</f>
        <v>0</v>
      </c>
      <c r="M79" s="3">
        <f>SUMIF('Keyword Results'!$A:$A,"Maldivians",'Keyword Results'!$O:$O)</f>
        <v>0</v>
      </c>
      <c r="N79" s="3">
        <f>SUMIF('Keyword Results'!$A:$A,"Maldivians",'Keyword Results'!$P:$P)</f>
        <v>0</v>
      </c>
      <c r="O79" s="3">
        <f>SUMIF('Keyword Results'!$A:$A,"Maldivians",'Keyword Results'!$Q:$Q)</f>
        <v>0</v>
      </c>
      <c r="P79" s="3">
        <f>SUMIF('Keyword Results'!$A:$A,"Maldivians",'Keyword Results'!$R:$R)</f>
        <v>0</v>
      </c>
      <c r="Q79" s="3">
        <f>SUMIF('Keyword Results'!$A:$A,"Maldivians",'Keyword Results'!$S:$S)</f>
        <v>0</v>
      </c>
      <c r="R79" s="3">
        <f>SUMIF('Keyword Results'!$A:$A,"Maldivians",'Keyword Results'!$T:$T)</f>
        <v>0</v>
      </c>
      <c r="S79" s="3">
        <f>SUMIF('Keyword Results'!$A:$A,"Maldivians",'Keyword Results'!$U:$U)</f>
        <v>0</v>
      </c>
      <c r="T79" s="3">
        <f>SUMIF('Keyword Results'!$A:$A,"Maldivians",'Keyword Results'!$V:$V)</f>
        <v>0</v>
      </c>
      <c r="U79" s="3">
        <f>SUMIF('Keyword Results'!$A:$A,"Maldivians",'Keyword Results'!$W:$W)</f>
        <v>0</v>
      </c>
      <c r="V79" s="3">
        <f>SUMIF('Keyword Results'!$A:$A,"Maldivians",'Keyword Results'!$X:$X)</f>
        <v>0</v>
      </c>
      <c r="W79" s="3">
        <f t="shared" si="1"/>
        <v>2</v>
      </c>
    </row>
    <row r="80" spans="1:23" x14ac:dyDescent="0.2">
      <c r="A80" s="2" t="s">
        <v>107</v>
      </c>
      <c r="B80" s="3">
        <f>SUMIF('Keyword Results'!$A:$A,"Malians",'Keyword Results'!$D:$D)</f>
        <v>7</v>
      </c>
      <c r="C80" s="3">
        <f>SUMIF('Keyword Results'!$A:$A,"Malians",'Keyword Results'!$E:$E)</f>
        <v>0</v>
      </c>
      <c r="D80" s="3">
        <f>SUMIF('Keyword Results'!$A:$A,"Malians",'Keyword Results'!$F:$F)</f>
        <v>0</v>
      </c>
      <c r="E80" s="3">
        <f>SUMIF('Keyword Results'!$A:$A,"Malians",'Keyword Results'!$G:$G)</f>
        <v>0</v>
      </c>
      <c r="F80" s="3">
        <f>SUMIF('Keyword Results'!$A:$A,"Malians",'Keyword Results'!$H:$H)</f>
        <v>0</v>
      </c>
      <c r="G80" s="3">
        <f>SUMIF('Keyword Results'!$A:$A,"Malians",'Keyword Results'!$I:$I)</f>
        <v>0</v>
      </c>
      <c r="H80" s="3">
        <f>SUMIF('Keyword Results'!$A:$A,"Malians",'Keyword Results'!$J:$J)</f>
        <v>0</v>
      </c>
      <c r="I80" s="3">
        <f>SUMIF('Keyword Results'!$A:$A,"Malians",'Keyword Results'!$K:$K)</f>
        <v>0</v>
      </c>
      <c r="J80" s="3">
        <f>SUMIF('Keyword Results'!$A:$A,"Malians",'Keyword Results'!$L:$L)</f>
        <v>0</v>
      </c>
      <c r="K80" s="3">
        <f>SUMIF('Keyword Results'!$A:$A,"Malians",'Keyword Results'!$M:$M)</f>
        <v>0</v>
      </c>
      <c r="L80" s="3">
        <f>SUMIF('Keyword Results'!$A:$A,"Malians",'Keyword Results'!$N:$N)</f>
        <v>0</v>
      </c>
      <c r="M80" s="3">
        <f>SUMIF('Keyword Results'!$A:$A,"Malians",'Keyword Results'!$O:$O)</f>
        <v>0</v>
      </c>
      <c r="N80" s="3">
        <f>SUMIF('Keyword Results'!$A:$A,"Malians",'Keyword Results'!$P:$P)</f>
        <v>0</v>
      </c>
      <c r="O80" s="3">
        <f>SUMIF('Keyword Results'!$A:$A,"Malians",'Keyword Results'!$Q:$Q)</f>
        <v>0</v>
      </c>
      <c r="P80" s="3">
        <f>SUMIF('Keyword Results'!$A:$A,"Malians",'Keyword Results'!$R:$R)</f>
        <v>0</v>
      </c>
      <c r="Q80" s="3">
        <f>SUMIF('Keyword Results'!$A:$A,"Malians",'Keyword Results'!$S:$S)</f>
        <v>0</v>
      </c>
      <c r="R80" s="3">
        <f>SUMIF('Keyword Results'!$A:$A,"Malians",'Keyword Results'!$T:$T)</f>
        <v>0</v>
      </c>
      <c r="S80" s="3">
        <f>SUMIF('Keyword Results'!$A:$A,"Malians",'Keyword Results'!$U:$U)</f>
        <v>0</v>
      </c>
      <c r="T80" s="3">
        <f>SUMIF('Keyword Results'!$A:$A,"Malians",'Keyword Results'!$V:$V)</f>
        <v>0</v>
      </c>
      <c r="U80" s="3">
        <f>SUMIF('Keyword Results'!$A:$A,"Malians",'Keyword Results'!$W:$W)</f>
        <v>0</v>
      </c>
      <c r="V80" s="3">
        <f>SUMIF('Keyword Results'!$A:$A,"Malians",'Keyword Results'!$X:$X)</f>
        <v>0</v>
      </c>
      <c r="W80" s="3">
        <f t="shared" si="1"/>
        <v>0</v>
      </c>
    </row>
    <row r="81" spans="1:23" x14ac:dyDescent="0.2">
      <c r="A81" s="2" t="s">
        <v>108</v>
      </c>
      <c r="B81" s="3">
        <f>SUMIF('Keyword Results'!$A:$A,"Maltese_people",'Keyword Results'!$D:$D)</f>
        <v>7</v>
      </c>
      <c r="C81" s="3">
        <f>SUMIF('Keyword Results'!$A:$A,"Maltese_people",'Keyword Results'!$E:$E)</f>
        <v>5</v>
      </c>
      <c r="D81" s="3">
        <f>SUMIF('Keyword Results'!$A:$A,"Maltese_people",'Keyword Results'!$F:$F)</f>
        <v>0</v>
      </c>
      <c r="E81" s="3">
        <f>SUMIF('Keyword Results'!$A:$A,"Maltese_people",'Keyword Results'!$G:$G)</f>
        <v>1</v>
      </c>
      <c r="F81" s="3">
        <f>SUMIF('Keyword Results'!$A:$A,"Maltese_people",'Keyword Results'!$H:$H)</f>
        <v>0</v>
      </c>
      <c r="G81" s="3">
        <f>SUMIF('Keyword Results'!$A:$A,"Maltese_people",'Keyword Results'!$I:$I)</f>
        <v>0</v>
      </c>
      <c r="H81" s="3">
        <f>SUMIF('Keyword Results'!$A:$A,"Maltese_people",'Keyword Results'!$J:$J)</f>
        <v>0</v>
      </c>
      <c r="I81" s="3">
        <f>SUMIF('Keyword Results'!$A:$A,"Maltese_people",'Keyword Results'!$K:$K)</f>
        <v>0</v>
      </c>
      <c r="J81" s="3">
        <f>SUMIF('Keyword Results'!$A:$A,"Maltese_people",'Keyword Results'!$L:$L)</f>
        <v>3</v>
      </c>
      <c r="K81" s="3">
        <f>SUMIF('Keyword Results'!$A:$A,"Maltese_people",'Keyword Results'!$M:$M)</f>
        <v>0</v>
      </c>
      <c r="L81" s="3">
        <f>SUMIF('Keyword Results'!$A:$A,"Maltese_people",'Keyword Results'!$N:$N)</f>
        <v>0</v>
      </c>
      <c r="M81" s="3">
        <f>SUMIF('Keyword Results'!$A:$A,"Maltese_people",'Keyword Results'!$O:$O)</f>
        <v>0</v>
      </c>
      <c r="N81" s="3">
        <f>SUMIF('Keyword Results'!$A:$A,"Maltese_people",'Keyword Results'!$P:$P)</f>
        <v>0</v>
      </c>
      <c r="O81" s="3">
        <f>SUMIF('Keyword Results'!$A:$A,"Maltese_people",'Keyword Results'!$Q:$Q)</f>
        <v>0</v>
      </c>
      <c r="P81" s="3">
        <f>SUMIF('Keyword Results'!$A:$A,"Maltese_people",'Keyword Results'!$R:$R)</f>
        <v>0</v>
      </c>
      <c r="Q81" s="3">
        <f>SUMIF('Keyword Results'!$A:$A,"Maltese_people",'Keyword Results'!$S:$S)</f>
        <v>0</v>
      </c>
      <c r="R81" s="3">
        <f>SUMIF('Keyword Results'!$A:$A,"Maltese_people",'Keyword Results'!$T:$T)</f>
        <v>0</v>
      </c>
      <c r="S81" s="3">
        <f>SUMIF('Keyword Results'!$A:$A,"Maltese_people",'Keyword Results'!$U:$U)</f>
        <v>0</v>
      </c>
      <c r="T81" s="3">
        <f>SUMIF('Keyword Results'!$A:$A,"Maltese_people",'Keyword Results'!$V:$V)</f>
        <v>0</v>
      </c>
      <c r="U81" s="3">
        <f>SUMIF('Keyword Results'!$A:$A,"Maltese_people",'Keyword Results'!$W:$W)</f>
        <v>0</v>
      </c>
      <c r="V81" s="3">
        <f>SUMIF('Keyword Results'!$A:$A,"Maltese_people",'Keyword Results'!$X:$X)</f>
        <v>0</v>
      </c>
      <c r="W81" s="3">
        <f t="shared" si="1"/>
        <v>9</v>
      </c>
    </row>
    <row r="82" spans="1:23" x14ac:dyDescent="0.2">
      <c r="A82" s="2" t="s">
        <v>109</v>
      </c>
      <c r="B82" s="3">
        <f>SUMIF('Keyword Results'!$A:$A,"Mauritians",'Keyword Results'!$D:$D)</f>
        <v>8</v>
      </c>
      <c r="C82" s="3">
        <f>SUMIF('Keyword Results'!$A:$A,"Mauritians",'Keyword Results'!$E:$E)</f>
        <v>0</v>
      </c>
      <c r="D82" s="3">
        <f>SUMIF('Keyword Results'!$A:$A,"Mauritians",'Keyword Results'!$F:$F)</f>
        <v>0</v>
      </c>
      <c r="E82" s="3">
        <f>SUMIF('Keyword Results'!$A:$A,"Mauritians",'Keyword Results'!$G:$G)</f>
        <v>0</v>
      </c>
      <c r="F82" s="3">
        <f>SUMIF('Keyword Results'!$A:$A,"Mauritians",'Keyword Results'!$H:$H)</f>
        <v>0</v>
      </c>
      <c r="G82" s="3">
        <f>SUMIF('Keyword Results'!$A:$A,"Mauritians",'Keyword Results'!$I:$I)</f>
        <v>0</v>
      </c>
      <c r="H82" s="3">
        <f>SUMIF('Keyword Results'!$A:$A,"Mauritians",'Keyword Results'!$J:$J)</f>
        <v>0</v>
      </c>
      <c r="I82" s="3">
        <f>SUMIF('Keyword Results'!$A:$A,"Mauritians",'Keyword Results'!$K:$K)</f>
        <v>0</v>
      </c>
      <c r="J82" s="3">
        <f>SUMIF('Keyword Results'!$A:$A,"Mauritians",'Keyword Results'!$L:$L)</f>
        <v>0</v>
      </c>
      <c r="K82" s="3">
        <f>SUMIF('Keyword Results'!$A:$A,"Mauritians",'Keyword Results'!$M:$M)</f>
        <v>0</v>
      </c>
      <c r="L82" s="3">
        <f>SUMIF('Keyword Results'!$A:$A,"Mauritians",'Keyword Results'!$N:$N)</f>
        <v>0</v>
      </c>
      <c r="M82" s="3">
        <f>SUMIF('Keyword Results'!$A:$A,"Mauritians",'Keyword Results'!$O:$O)</f>
        <v>0</v>
      </c>
      <c r="N82" s="3">
        <f>SUMIF('Keyword Results'!$A:$A,"Mauritians",'Keyword Results'!$P:$P)</f>
        <v>0</v>
      </c>
      <c r="O82" s="3">
        <f>SUMIF('Keyword Results'!$A:$A,"Mauritians",'Keyword Results'!$Q:$Q)</f>
        <v>0</v>
      </c>
      <c r="P82" s="3">
        <f>SUMIF('Keyword Results'!$A:$A,"Mauritians",'Keyword Results'!$R:$R)</f>
        <v>0</v>
      </c>
      <c r="Q82" s="3">
        <f>SUMIF('Keyword Results'!$A:$A,"Mauritians",'Keyword Results'!$S:$S)</f>
        <v>0</v>
      </c>
      <c r="R82" s="3">
        <f>SUMIF('Keyword Results'!$A:$A,"Mauritians",'Keyword Results'!$T:$T)</f>
        <v>0</v>
      </c>
      <c r="S82" s="3">
        <f>SUMIF('Keyword Results'!$A:$A,"Mauritians",'Keyword Results'!$U:$U)</f>
        <v>0</v>
      </c>
      <c r="T82" s="3">
        <f>SUMIF('Keyword Results'!$A:$A,"Mauritians",'Keyword Results'!$V:$V)</f>
        <v>0</v>
      </c>
      <c r="U82" s="3">
        <f>SUMIF('Keyword Results'!$A:$A,"Mauritians",'Keyword Results'!$W:$W)</f>
        <v>0</v>
      </c>
      <c r="V82" s="3">
        <f>SUMIF('Keyword Results'!$A:$A,"Mauritians",'Keyword Results'!$X:$X)</f>
        <v>0</v>
      </c>
      <c r="W82" s="3">
        <f t="shared" si="1"/>
        <v>0</v>
      </c>
    </row>
    <row r="83" spans="1:23" x14ac:dyDescent="0.2">
      <c r="A83" s="2" t="s">
        <v>110</v>
      </c>
      <c r="B83" s="3">
        <f>SUMIF('Keyword Results'!$A:$A,"Mexicans",'Keyword Results'!$D:$D)</f>
        <v>5</v>
      </c>
      <c r="C83" s="3">
        <f>SUMIF('Keyword Results'!$A:$A,"Mexicans",'Keyword Results'!$E:$E)</f>
        <v>1</v>
      </c>
      <c r="D83" s="3">
        <f>SUMIF('Keyword Results'!$A:$A,"Mexicans",'Keyword Results'!$F:$F)</f>
        <v>0</v>
      </c>
      <c r="E83" s="3">
        <f>SUMIF('Keyword Results'!$A:$A,"Mexicans",'Keyword Results'!$G:$G)</f>
        <v>0</v>
      </c>
      <c r="F83" s="3">
        <f>SUMIF('Keyword Results'!$A:$A,"Mexicans",'Keyword Results'!$H:$H)</f>
        <v>0</v>
      </c>
      <c r="G83" s="3">
        <f>SUMIF('Keyword Results'!$A:$A,"Mexicans",'Keyword Results'!$I:$I)</f>
        <v>0</v>
      </c>
      <c r="H83" s="3">
        <f>SUMIF('Keyword Results'!$A:$A,"Mexicans",'Keyword Results'!$J:$J)</f>
        <v>0</v>
      </c>
      <c r="I83" s="3">
        <f>SUMIF('Keyword Results'!$A:$A,"Mexicans",'Keyword Results'!$K:$K)</f>
        <v>0</v>
      </c>
      <c r="J83" s="3">
        <f>SUMIF('Keyword Results'!$A:$A,"Mexicans",'Keyword Results'!$L:$L)</f>
        <v>1</v>
      </c>
      <c r="K83" s="3">
        <f>SUMIF('Keyword Results'!$A:$A,"Mexicans",'Keyword Results'!$M:$M)</f>
        <v>0</v>
      </c>
      <c r="L83" s="3">
        <f>SUMIF('Keyword Results'!$A:$A,"Mexicans",'Keyword Results'!$N:$N)</f>
        <v>0</v>
      </c>
      <c r="M83" s="3">
        <f>SUMIF('Keyword Results'!$A:$A,"Mexicans",'Keyword Results'!$O:$O)</f>
        <v>0</v>
      </c>
      <c r="N83" s="3">
        <f>SUMIF('Keyword Results'!$A:$A,"Mexicans",'Keyword Results'!$P:$P)</f>
        <v>0</v>
      </c>
      <c r="O83" s="3">
        <f>SUMIF('Keyword Results'!$A:$A,"Mexicans",'Keyword Results'!$Q:$Q)</f>
        <v>0</v>
      </c>
      <c r="P83" s="3">
        <f>SUMIF('Keyword Results'!$A:$A,"Mexicans",'Keyword Results'!$R:$R)</f>
        <v>0</v>
      </c>
      <c r="Q83" s="3">
        <f>SUMIF('Keyword Results'!$A:$A,"Mexicans",'Keyword Results'!$S:$S)</f>
        <v>0</v>
      </c>
      <c r="R83" s="3">
        <f>SUMIF('Keyword Results'!$A:$A,"Mexicans",'Keyword Results'!$T:$T)</f>
        <v>0</v>
      </c>
      <c r="S83" s="3">
        <f>SUMIF('Keyword Results'!$A:$A,"Mexicans",'Keyword Results'!$U:$U)</f>
        <v>0</v>
      </c>
      <c r="T83" s="3">
        <f>SUMIF('Keyword Results'!$A:$A,"Mexicans",'Keyword Results'!$V:$V)</f>
        <v>0</v>
      </c>
      <c r="U83" s="3">
        <f>SUMIF('Keyword Results'!$A:$A,"Mexicans",'Keyword Results'!$W:$W)</f>
        <v>0</v>
      </c>
      <c r="V83" s="3">
        <f>SUMIF('Keyword Results'!$A:$A,"Mexicans",'Keyword Results'!$X:$X)</f>
        <v>0</v>
      </c>
      <c r="W83" s="3">
        <f t="shared" si="1"/>
        <v>2</v>
      </c>
    </row>
    <row r="84" spans="1:23" x14ac:dyDescent="0.2">
      <c r="A84" s="2" t="s">
        <v>111</v>
      </c>
      <c r="B84" s="3">
        <f>SUMIF('Keyword Results'!$A:$A,"Micronesians",'Keyword Results'!$D:$D)</f>
        <v>4</v>
      </c>
      <c r="C84" s="3">
        <f>SUMIF('Keyword Results'!$A:$A,"Micronesians",'Keyword Results'!$E:$E)</f>
        <v>2</v>
      </c>
      <c r="D84" s="3">
        <f>SUMIF('Keyword Results'!$A:$A,"Micronesians",'Keyword Results'!$F:$F)</f>
        <v>0</v>
      </c>
      <c r="E84" s="3">
        <f>SUMIF('Keyword Results'!$A:$A,"Micronesians",'Keyword Results'!$G:$G)</f>
        <v>0</v>
      </c>
      <c r="F84" s="3">
        <f>SUMIF('Keyword Results'!$A:$A,"Micronesians",'Keyword Results'!$H:$H)</f>
        <v>0</v>
      </c>
      <c r="G84" s="3">
        <f>SUMIF('Keyword Results'!$A:$A,"Micronesians",'Keyword Results'!$I:$I)</f>
        <v>0</v>
      </c>
      <c r="H84" s="3">
        <f>SUMIF('Keyword Results'!$A:$A,"Micronesians",'Keyword Results'!$J:$J)</f>
        <v>0</v>
      </c>
      <c r="I84" s="3">
        <f>SUMIF('Keyword Results'!$A:$A,"Micronesians",'Keyword Results'!$K:$K)</f>
        <v>0</v>
      </c>
      <c r="J84" s="3">
        <f>SUMIF('Keyword Results'!$A:$A,"Micronesians",'Keyword Results'!$L:$L)</f>
        <v>0</v>
      </c>
      <c r="K84" s="3">
        <f>SUMIF('Keyword Results'!$A:$A,"Micronesians",'Keyword Results'!$M:$M)</f>
        <v>0</v>
      </c>
      <c r="L84" s="3">
        <f>SUMIF('Keyword Results'!$A:$A,"Micronesians",'Keyword Results'!$N:$N)</f>
        <v>0</v>
      </c>
      <c r="M84" s="3">
        <f>SUMIF('Keyword Results'!$A:$A,"Micronesians",'Keyword Results'!$O:$O)</f>
        <v>0</v>
      </c>
      <c r="N84" s="3">
        <f>SUMIF('Keyword Results'!$A:$A,"Micronesians",'Keyword Results'!$P:$P)</f>
        <v>0</v>
      </c>
      <c r="O84" s="3">
        <f>SUMIF('Keyword Results'!$A:$A,"Micronesians",'Keyword Results'!$Q:$Q)</f>
        <v>0</v>
      </c>
      <c r="P84" s="3">
        <f>SUMIF('Keyword Results'!$A:$A,"Micronesians",'Keyword Results'!$R:$R)</f>
        <v>0</v>
      </c>
      <c r="Q84" s="3">
        <f>SUMIF('Keyword Results'!$A:$A,"Micronesians",'Keyword Results'!$S:$S)</f>
        <v>0</v>
      </c>
      <c r="R84" s="3">
        <f>SUMIF('Keyword Results'!$A:$A,"Micronesians",'Keyword Results'!$T:$T)</f>
        <v>0</v>
      </c>
      <c r="S84" s="3">
        <f>SUMIF('Keyword Results'!$A:$A,"Micronesians",'Keyword Results'!$U:$U)</f>
        <v>0</v>
      </c>
      <c r="T84" s="3">
        <f>SUMIF('Keyword Results'!$A:$A,"Micronesians",'Keyword Results'!$V:$V)</f>
        <v>0</v>
      </c>
      <c r="U84" s="3">
        <f>SUMIF('Keyword Results'!$A:$A,"Micronesians",'Keyword Results'!$W:$W)</f>
        <v>0</v>
      </c>
      <c r="V84" s="3">
        <f>SUMIF('Keyword Results'!$A:$A,"Micronesians",'Keyword Results'!$X:$X)</f>
        <v>0</v>
      </c>
      <c r="W84" s="3">
        <f t="shared" si="1"/>
        <v>2</v>
      </c>
    </row>
    <row r="85" spans="1:23" x14ac:dyDescent="0.2">
      <c r="A85" s="2" t="s">
        <v>112</v>
      </c>
      <c r="B85" s="3">
        <f>SUMIF('Keyword Results'!$A:$A,"Moldovans",'Keyword Results'!$D:$D)</f>
        <v>10</v>
      </c>
      <c r="C85" s="3">
        <f>SUMIF('Keyword Results'!$A:$A,"Moldovans",'Keyword Results'!$E:$E)</f>
        <v>0</v>
      </c>
      <c r="D85" s="3">
        <f>SUMIF('Keyword Results'!$A:$A,"Moldovans",'Keyword Results'!$F:$F)</f>
        <v>0</v>
      </c>
      <c r="E85" s="3">
        <f>SUMIF('Keyword Results'!$A:$A,"Moldovans",'Keyword Results'!$G:$G)</f>
        <v>0</v>
      </c>
      <c r="F85" s="3">
        <f>SUMIF('Keyword Results'!$A:$A,"Moldovans",'Keyword Results'!$H:$H)</f>
        <v>0</v>
      </c>
      <c r="G85" s="3">
        <f>SUMIF('Keyword Results'!$A:$A,"Moldovans",'Keyword Results'!$I:$I)</f>
        <v>0</v>
      </c>
      <c r="H85" s="3">
        <f>SUMIF('Keyword Results'!$A:$A,"Moldovans",'Keyword Results'!$J:$J)</f>
        <v>0</v>
      </c>
      <c r="I85" s="3">
        <f>SUMIF('Keyword Results'!$A:$A,"Moldovans",'Keyword Results'!$K:$K)</f>
        <v>0</v>
      </c>
      <c r="J85" s="3">
        <f>SUMIF('Keyword Results'!$A:$A,"Moldovans",'Keyword Results'!$L:$L)</f>
        <v>0</v>
      </c>
      <c r="K85" s="3">
        <f>SUMIF('Keyword Results'!$A:$A,"Moldovans",'Keyword Results'!$M:$M)</f>
        <v>0</v>
      </c>
      <c r="L85" s="3">
        <f>SUMIF('Keyword Results'!$A:$A,"Moldovans",'Keyword Results'!$N:$N)</f>
        <v>0</v>
      </c>
      <c r="M85" s="3">
        <f>SUMIF('Keyword Results'!$A:$A,"Moldovans",'Keyword Results'!$O:$O)</f>
        <v>0</v>
      </c>
      <c r="N85" s="3">
        <f>SUMIF('Keyword Results'!$A:$A,"Moldovans",'Keyword Results'!$P:$P)</f>
        <v>0</v>
      </c>
      <c r="O85" s="3">
        <f>SUMIF('Keyword Results'!$A:$A,"Moldovans",'Keyword Results'!$Q:$Q)</f>
        <v>0</v>
      </c>
      <c r="P85" s="3">
        <f>SUMIF('Keyword Results'!$A:$A,"Moldovans",'Keyword Results'!$R:$R)</f>
        <v>0</v>
      </c>
      <c r="Q85" s="3">
        <f>SUMIF('Keyword Results'!$A:$A,"Moldovans",'Keyword Results'!$S:$S)</f>
        <v>0</v>
      </c>
      <c r="R85" s="3">
        <f>SUMIF('Keyword Results'!$A:$A,"Moldovans",'Keyword Results'!$T:$T)</f>
        <v>0</v>
      </c>
      <c r="S85" s="3">
        <f>SUMIF('Keyword Results'!$A:$A,"Moldovans",'Keyword Results'!$U:$U)</f>
        <v>0</v>
      </c>
      <c r="T85" s="3">
        <f>SUMIF('Keyword Results'!$A:$A,"Moldovans",'Keyword Results'!$V:$V)</f>
        <v>0</v>
      </c>
      <c r="U85" s="3">
        <f>SUMIF('Keyword Results'!$A:$A,"Moldovans",'Keyword Results'!$W:$W)</f>
        <v>0</v>
      </c>
      <c r="V85" s="3">
        <f>SUMIF('Keyword Results'!$A:$A,"Moldovans",'Keyword Results'!$X:$X)</f>
        <v>0</v>
      </c>
      <c r="W85" s="3">
        <f t="shared" si="1"/>
        <v>0</v>
      </c>
    </row>
    <row r="86" spans="1:23" x14ac:dyDescent="0.2">
      <c r="A86" s="2" t="s">
        <v>113</v>
      </c>
      <c r="B86" s="3">
        <f>SUMIF('Keyword Results'!$A:$A,"Mongols",'Keyword Results'!$D:$D)</f>
        <v>7</v>
      </c>
      <c r="C86" s="3">
        <f>SUMIF('Keyword Results'!$A:$A,"Mongols",'Keyword Results'!$E:$E)</f>
        <v>1</v>
      </c>
      <c r="D86" s="3">
        <f>SUMIF('Keyword Results'!$A:$A,"Mongols",'Keyword Results'!$F:$F)</f>
        <v>0</v>
      </c>
      <c r="E86" s="3">
        <f>SUMIF('Keyword Results'!$A:$A,"Mongols",'Keyword Results'!$G:$G)</f>
        <v>0</v>
      </c>
      <c r="F86" s="3">
        <f>SUMIF('Keyword Results'!$A:$A,"Mongols",'Keyword Results'!$H:$H)</f>
        <v>0</v>
      </c>
      <c r="G86" s="3">
        <f>SUMIF('Keyword Results'!$A:$A,"Mongols",'Keyword Results'!$I:$I)</f>
        <v>0</v>
      </c>
      <c r="H86" s="3">
        <f>SUMIF('Keyword Results'!$A:$A,"Mongols",'Keyword Results'!$J:$J)</f>
        <v>0</v>
      </c>
      <c r="I86" s="3">
        <f>SUMIF('Keyword Results'!$A:$A,"Mongols",'Keyword Results'!$K:$K)</f>
        <v>0</v>
      </c>
      <c r="J86" s="3">
        <f>SUMIF('Keyword Results'!$A:$A,"Mongols",'Keyword Results'!$L:$L)</f>
        <v>0</v>
      </c>
      <c r="K86" s="3">
        <f>SUMIF('Keyword Results'!$A:$A,"Mongols",'Keyword Results'!$M:$M)</f>
        <v>0</v>
      </c>
      <c r="L86" s="3">
        <f>SUMIF('Keyword Results'!$A:$A,"Mongols",'Keyword Results'!$N:$N)</f>
        <v>0</v>
      </c>
      <c r="M86" s="3">
        <f>SUMIF('Keyword Results'!$A:$A,"Mongols",'Keyword Results'!$O:$O)</f>
        <v>0</v>
      </c>
      <c r="N86" s="3">
        <f>SUMIF('Keyword Results'!$A:$A,"Mongols",'Keyword Results'!$P:$P)</f>
        <v>0</v>
      </c>
      <c r="O86" s="3">
        <f>SUMIF('Keyword Results'!$A:$A,"Mongols",'Keyword Results'!$Q:$Q)</f>
        <v>0</v>
      </c>
      <c r="P86" s="3">
        <f>SUMIF('Keyword Results'!$A:$A,"Mongols",'Keyword Results'!$R:$R)</f>
        <v>0</v>
      </c>
      <c r="Q86" s="3">
        <f>SUMIF('Keyword Results'!$A:$A,"Mongols",'Keyword Results'!$S:$S)</f>
        <v>0</v>
      </c>
      <c r="R86" s="3">
        <f>SUMIF('Keyword Results'!$A:$A,"Mongols",'Keyword Results'!$T:$T)</f>
        <v>0</v>
      </c>
      <c r="S86" s="3">
        <f>SUMIF('Keyword Results'!$A:$A,"Mongols",'Keyword Results'!$U:$U)</f>
        <v>0</v>
      </c>
      <c r="T86" s="3">
        <f>SUMIF('Keyword Results'!$A:$A,"Mongols",'Keyword Results'!$V:$V)</f>
        <v>0</v>
      </c>
      <c r="U86" s="3">
        <f>SUMIF('Keyword Results'!$A:$A,"Mongols",'Keyword Results'!$W:$W)</f>
        <v>0</v>
      </c>
      <c r="V86" s="3">
        <f>SUMIF('Keyword Results'!$A:$A,"Mongols",'Keyword Results'!$X:$X)</f>
        <v>0</v>
      </c>
      <c r="W86" s="3">
        <f t="shared" si="1"/>
        <v>1</v>
      </c>
    </row>
    <row r="87" spans="1:23" x14ac:dyDescent="0.2">
      <c r="A87" s="2" t="s">
        <v>114</v>
      </c>
      <c r="B87" s="3">
        <f>SUMIF('Keyword Results'!$A:$A,"Montenegrins",'Keyword Results'!$D:$D)</f>
        <v>6</v>
      </c>
      <c r="C87" s="3">
        <f>SUMIF('Keyword Results'!$A:$A,"Montenegrins",'Keyword Results'!$E:$E)</f>
        <v>2</v>
      </c>
      <c r="D87" s="3">
        <f>SUMIF('Keyword Results'!$A:$A,"Montenegrins",'Keyword Results'!$F:$F)</f>
        <v>0</v>
      </c>
      <c r="E87" s="3">
        <f>SUMIF('Keyword Results'!$A:$A,"Montenegrins",'Keyword Results'!$G:$G)</f>
        <v>0</v>
      </c>
      <c r="F87" s="3">
        <f>SUMIF('Keyword Results'!$A:$A,"Montenegrins",'Keyword Results'!$H:$H)</f>
        <v>0</v>
      </c>
      <c r="G87" s="3">
        <f>SUMIF('Keyword Results'!$A:$A,"Montenegrins",'Keyword Results'!$I:$I)</f>
        <v>0</v>
      </c>
      <c r="H87" s="3">
        <f>SUMIF('Keyword Results'!$A:$A,"Montenegrins",'Keyword Results'!$J:$J)</f>
        <v>0</v>
      </c>
      <c r="I87" s="3">
        <f>SUMIF('Keyword Results'!$A:$A,"Montenegrins",'Keyword Results'!$K:$K)</f>
        <v>0</v>
      </c>
      <c r="J87" s="3">
        <f>SUMIF('Keyword Results'!$A:$A,"Montenegrins",'Keyword Results'!$L:$L)</f>
        <v>0</v>
      </c>
      <c r="K87" s="3">
        <f>SUMIF('Keyword Results'!$A:$A,"Montenegrins",'Keyword Results'!$M:$M)</f>
        <v>0</v>
      </c>
      <c r="L87" s="3">
        <f>SUMIF('Keyword Results'!$A:$A,"Montenegrins",'Keyword Results'!$N:$N)</f>
        <v>0</v>
      </c>
      <c r="M87" s="3">
        <f>SUMIF('Keyword Results'!$A:$A,"Montenegrins",'Keyword Results'!$O:$O)</f>
        <v>0</v>
      </c>
      <c r="N87" s="3">
        <f>SUMIF('Keyword Results'!$A:$A,"Montenegrins",'Keyword Results'!$P:$P)</f>
        <v>0</v>
      </c>
      <c r="O87" s="3">
        <f>SUMIF('Keyword Results'!$A:$A,"Montenegrins",'Keyword Results'!$Q:$Q)</f>
        <v>0</v>
      </c>
      <c r="P87" s="3">
        <f>SUMIF('Keyword Results'!$A:$A,"Montenegrins",'Keyword Results'!$R:$R)</f>
        <v>0</v>
      </c>
      <c r="Q87" s="3">
        <f>SUMIF('Keyword Results'!$A:$A,"Montenegrins",'Keyword Results'!$S:$S)</f>
        <v>0</v>
      </c>
      <c r="R87" s="3">
        <f>SUMIF('Keyword Results'!$A:$A,"Montenegrins",'Keyword Results'!$T:$T)</f>
        <v>0</v>
      </c>
      <c r="S87" s="3">
        <f>SUMIF('Keyword Results'!$A:$A,"Montenegrins",'Keyword Results'!$U:$U)</f>
        <v>0</v>
      </c>
      <c r="T87" s="3">
        <f>SUMIF('Keyword Results'!$A:$A,"Montenegrins",'Keyword Results'!$V:$V)</f>
        <v>0</v>
      </c>
      <c r="U87" s="3">
        <f>SUMIF('Keyword Results'!$A:$A,"Montenegrins",'Keyword Results'!$W:$W)</f>
        <v>0</v>
      </c>
      <c r="V87" s="3">
        <f>SUMIF('Keyword Results'!$A:$A,"Montenegrins",'Keyword Results'!$X:$X)</f>
        <v>0</v>
      </c>
      <c r="W87" s="3">
        <f t="shared" si="1"/>
        <v>2</v>
      </c>
    </row>
    <row r="88" spans="1:23" x14ac:dyDescent="0.2">
      <c r="A88" s="2" t="s">
        <v>115</v>
      </c>
      <c r="B88" s="3">
        <f>SUMIF('Keyword Results'!$A:$A,"Moroccans",'Keyword Results'!$D:$D)</f>
        <v>4</v>
      </c>
      <c r="C88" s="3">
        <f>SUMIF('Keyword Results'!$A:$A,"Moroccans",'Keyword Results'!$E:$E)</f>
        <v>2</v>
      </c>
      <c r="D88" s="3">
        <f>SUMIF('Keyword Results'!$A:$A,"Moroccans",'Keyword Results'!$F:$F)</f>
        <v>0</v>
      </c>
      <c r="E88" s="3">
        <f>SUMIF('Keyword Results'!$A:$A,"Moroccans",'Keyword Results'!$G:$G)</f>
        <v>0</v>
      </c>
      <c r="F88" s="3">
        <f>SUMIF('Keyword Results'!$A:$A,"Moroccans",'Keyword Results'!$H:$H)</f>
        <v>0</v>
      </c>
      <c r="G88" s="3">
        <f>SUMIF('Keyword Results'!$A:$A,"Moroccans",'Keyword Results'!$I:$I)</f>
        <v>0</v>
      </c>
      <c r="H88" s="3">
        <f>SUMIF('Keyword Results'!$A:$A,"Moroccans",'Keyword Results'!$J:$J)</f>
        <v>0</v>
      </c>
      <c r="I88" s="3">
        <f>SUMIF('Keyword Results'!$A:$A,"Moroccans",'Keyword Results'!$K:$K)</f>
        <v>0</v>
      </c>
      <c r="J88" s="3">
        <f>SUMIF('Keyword Results'!$A:$A,"Moroccans",'Keyword Results'!$L:$L)</f>
        <v>0</v>
      </c>
      <c r="K88" s="3">
        <f>SUMIF('Keyword Results'!$A:$A,"Moroccans",'Keyword Results'!$M:$M)</f>
        <v>0</v>
      </c>
      <c r="L88" s="3">
        <f>SUMIF('Keyword Results'!$A:$A,"Moroccans",'Keyword Results'!$N:$N)</f>
        <v>0</v>
      </c>
      <c r="M88" s="3">
        <f>SUMIF('Keyword Results'!$A:$A,"Moroccans",'Keyword Results'!$O:$O)</f>
        <v>0</v>
      </c>
      <c r="N88" s="3">
        <f>SUMIF('Keyword Results'!$A:$A,"Moroccans",'Keyword Results'!$P:$P)</f>
        <v>0</v>
      </c>
      <c r="O88" s="3">
        <f>SUMIF('Keyword Results'!$A:$A,"Moroccans",'Keyword Results'!$Q:$Q)</f>
        <v>0</v>
      </c>
      <c r="P88" s="3">
        <f>SUMIF('Keyword Results'!$A:$A,"Moroccans",'Keyword Results'!$R:$R)</f>
        <v>0</v>
      </c>
      <c r="Q88" s="3">
        <f>SUMIF('Keyword Results'!$A:$A,"Moroccans",'Keyword Results'!$S:$S)</f>
        <v>0</v>
      </c>
      <c r="R88" s="3">
        <f>SUMIF('Keyword Results'!$A:$A,"Moroccans",'Keyword Results'!$T:$T)</f>
        <v>0</v>
      </c>
      <c r="S88" s="3">
        <f>SUMIF('Keyword Results'!$A:$A,"Moroccans",'Keyword Results'!$U:$U)</f>
        <v>0</v>
      </c>
      <c r="T88" s="3">
        <f>SUMIF('Keyword Results'!$A:$A,"Moroccans",'Keyword Results'!$V:$V)</f>
        <v>0</v>
      </c>
      <c r="U88" s="3">
        <f>SUMIF('Keyword Results'!$A:$A,"Moroccans",'Keyword Results'!$W:$W)</f>
        <v>0</v>
      </c>
      <c r="V88" s="3">
        <f>SUMIF('Keyword Results'!$A:$A,"Moroccans",'Keyword Results'!$X:$X)</f>
        <v>0</v>
      </c>
      <c r="W88" s="3">
        <f t="shared" si="1"/>
        <v>2</v>
      </c>
    </row>
    <row r="89" spans="1:23" x14ac:dyDescent="0.2">
      <c r="A89" s="2" t="s">
        <v>116</v>
      </c>
      <c r="B89" s="3">
        <f>SUMIF('Keyword Results'!$A:$A,"Nauruans",'Keyword Results'!$D:$D)</f>
        <v>10</v>
      </c>
      <c r="C89" s="3">
        <f>SUMIF('Keyword Results'!$A:$A,"Nauruans",'Keyword Results'!$E:$E)</f>
        <v>0</v>
      </c>
      <c r="D89" s="3">
        <f>SUMIF('Keyword Results'!$A:$A,"Nauruans",'Keyword Results'!$F:$F)</f>
        <v>0</v>
      </c>
      <c r="E89" s="3">
        <f>SUMIF('Keyword Results'!$A:$A,"Nauruans",'Keyword Results'!$G:$G)</f>
        <v>0</v>
      </c>
      <c r="F89" s="3">
        <f>SUMIF('Keyword Results'!$A:$A,"Nauruans",'Keyword Results'!$H:$H)</f>
        <v>0</v>
      </c>
      <c r="G89" s="3">
        <f>SUMIF('Keyword Results'!$A:$A,"Nauruans",'Keyword Results'!$I:$I)</f>
        <v>0</v>
      </c>
      <c r="H89" s="3">
        <f>SUMIF('Keyword Results'!$A:$A,"Nauruans",'Keyword Results'!$J:$J)</f>
        <v>0</v>
      </c>
      <c r="I89" s="3">
        <f>SUMIF('Keyword Results'!$A:$A,"Nauruans",'Keyword Results'!$K:$K)</f>
        <v>0</v>
      </c>
      <c r="J89" s="3">
        <f>SUMIF('Keyword Results'!$A:$A,"Nauruans",'Keyword Results'!$L:$L)</f>
        <v>0</v>
      </c>
      <c r="K89" s="3">
        <f>SUMIF('Keyword Results'!$A:$A,"Nauruans",'Keyword Results'!$M:$M)</f>
        <v>0</v>
      </c>
      <c r="L89" s="3">
        <f>SUMIF('Keyword Results'!$A:$A,"Nauruans",'Keyword Results'!$N:$N)</f>
        <v>0</v>
      </c>
      <c r="M89" s="3">
        <f>SUMIF('Keyword Results'!$A:$A,"Nauruans",'Keyword Results'!$O:$O)</f>
        <v>0</v>
      </c>
      <c r="N89" s="3">
        <f>SUMIF('Keyword Results'!$A:$A,"Nauruans",'Keyword Results'!$P:$P)</f>
        <v>0</v>
      </c>
      <c r="O89" s="3">
        <f>SUMIF('Keyword Results'!$A:$A,"Nauruans",'Keyword Results'!$Q:$Q)</f>
        <v>0</v>
      </c>
      <c r="P89" s="3">
        <f>SUMIF('Keyword Results'!$A:$A,"Nauruans",'Keyword Results'!$R:$R)</f>
        <v>0</v>
      </c>
      <c r="Q89" s="3">
        <f>SUMIF('Keyword Results'!$A:$A,"Nauruans",'Keyword Results'!$S:$S)</f>
        <v>0</v>
      </c>
      <c r="R89" s="3">
        <f>SUMIF('Keyword Results'!$A:$A,"Nauruans",'Keyword Results'!$T:$T)</f>
        <v>0</v>
      </c>
      <c r="S89" s="3">
        <f>SUMIF('Keyword Results'!$A:$A,"Nauruans",'Keyword Results'!$U:$U)</f>
        <v>0</v>
      </c>
      <c r="T89" s="3">
        <f>SUMIF('Keyword Results'!$A:$A,"Nauruans",'Keyword Results'!$V:$V)</f>
        <v>0</v>
      </c>
      <c r="U89" s="3">
        <f>SUMIF('Keyword Results'!$A:$A,"Nauruans",'Keyword Results'!$W:$W)</f>
        <v>0</v>
      </c>
      <c r="V89" s="3">
        <f>SUMIF('Keyword Results'!$A:$A,"Nauruans",'Keyword Results'!$X:$X)</f>
        <v>0</v>
      </c>
      <c r="W89" s="3">
        <f t="shared" si="1"/>
        <v>0</v>
      </c>
    </row>
    <row r="90" spans="1:23" x14ac:dyDescent="0.2">
      <c r="A90" s="2" t="s">
        <v>117</v>
      </c>
      <c r="B90" s="3">
        <f>SUMIF('Keyword Results'!$A:$A,"Nepalis",'Keyword Results'!$D:$D)</f>
        <v>4</v>
      </c>
      <c r="C90" s="3">
        <f>SUMIF('Keyword Results'!$A:$A,"Nepalis",'Keyword Results'!$E:$E)</f>
        <v>0</v>
      </c>
      <c r="D90" s="3">
        <f>SUMIF('Keyword Results'!$A:$A,"Nepalis",'Keyword Results'!$F:$F)</f>
        <v>0</v>
      </c>
      <c r="E90" s="3">
        <f>SUMIF('Keyword Results'!$A:$A,"Nepalis",'Keyword Results'!$G:$G)</f>
        <v>0</v>
      </c>
      <c r="F90" s="3">
        <f>SUMIF('Keyword Results'!$A:$A,"Nepalis",'Keyword Results'!$H:$H)</f>
        <v>0</v>
      </c>
      <c r="G90" s="3">
        <f>SUMIF('Keyword Results'!$A:$A,"Nepalis",'Keyword Results'!$I:$I)</f>
        <v>0</v>
      </c>
      <c r="H90" s="3">
        <f>SUMIF('Keyword Results'!$A:$A,"Nepalis",'Keyword Results'!$J:$J)</f>
        <v>0</v>
      </c>
      <c r="I90" s="3">
        <f>SUMIF('Keyword Results'!$A:$A,"Nepalis",'Keyword Results'!$K:$K)</f>
        <v>0</v>
      </c>
      <c r="J90" s="3">
        <f>SUMIF('Keyword Results'!$A:$A,"Nepalis",'Keyword Results'!$L:$L)</f>
        <v>0</v>
      </c>
      <c r="K90" s="3">
        <f>SUMIF('Keyword Results'!$A:$A,"Nepalis",'Keyword Results'!$M:$M)</f>
        <v>0</v>
      </c>
      <c r="L90" s="3">
        <f>SUMIF('Keyword Results'!$A:$A,"Nepalis",'Keyword Results'!$N:$N)</f>
        <v>0</v>
      </c>
      <c r="M90" s="3">
        <f>SUMIF('Keyword Results'!$A:$A,"Nepalis",'Keyword Results'!$O:$O)</f>
        <v>0</v>
      </c>
      <c r="N90" s="3">
        <f>SUMIF('Keyword Results'!$A:$A,"Nepalis",'Keyword Results'!$P:$P)</f>
        <v>0</v>
      </c>
      <c r="O90" s="3">
        <f>SUMIF('Keyword Results'!$A:$A,"Nepalis",'Keyword Results'!$Q:$Q)</f>
        <v>0</v>
      </c>
      <c r="P90" s="3">
        <f>SUMIF('Keyword Results'!$A:$A,"Nepalis",'Keyword Results'!$R:$R)</f>
        <v>0</v>
      </c>
      <c r="Q90" s="3">
        <f>SUMIF('Keyword Results'!$A:$A,"Nepalis",'Keyword Results'!$S:$S)</f>
        <v>0</v>
      </c>
      <c r="R90" s="3">
        <f>SUMIF('Keyword Results'!$A:$A,"Nepalis",'Keyword Results'!$T:$T)</f>
        <v>0</v>
      </c>
      <c r="S90" s="3">
        <f>SUMIF('Keyword Results'!$A:$A,"Nepalis",'Keyword Results'!$U:$U)</f>
        <v>0</v>
      </c>
      <c r="T90" s="3">
        <f>SUMIF('Keyword Results'!$A:$A,"Nepalis",'Keyword Results'!$V:$V)</f>
        <v>0</v>
      </c>
      <c r="U90" s="3">
        <f>SUMIF('Keyword Results'!$A:$A,"Nepalis",'Keyword Results'!$W:$W)</f>
        <v>0</v>
      </c>
      <c r="V90" s="3">
        <f>SUMIF('Keyword Results'!$A:$A,"Nepalis",'Keyword Results'!$X:$X)</f>
        <v>0</v>
      </c>
      <c r="W90" s="3">
        <f t="shared" si="1"/>
        <v>0</v>
      </c>
    </row>
    <row r="91" spans="1:23" x14ac:dyDescent="0.2">
      <c r="A91" s="2" t="s">
        <v>118</v>
      </c>
      <c r="B91" s="3">
        <f>SUMIF('Keyword Results'!$A:$A,"New_Zealanders",'Keyword Results'!$D:$D)</f>
        <v>6</v>
      </c>
      <c r="C91" s="3">
        <f>SUMIF('Keyword Results'!$A:$A,"New_Zealanders",'Keyword Results'!$E:$E)</f>
        <v>0</v>
      </c>
      <c r="D91" s="3">
        <f>SUMIF('Keyword Results'!$A:$A,"New_Zealanders",'Keyword Results'!$F:$F)</f>
        <v>0</v>
      </c>
      <c r="E91" s="3">
        <f>SUMIF('Keyword Results'!$A:$A,"New_Zealanders",'Keyword Results'!$G:$G)</f>
        <v>0</v>
      </c>
      <c r="F91" s="3">
        <f>SUMIF('Keyword Results'!$A:$A,"New_Zealanders",'Keyword Results'!$H:$H)</f>
        <v>0</v>
      </c>
      <c r="G91" s="3">
        <f>SUMIF('Keyword Results'!$A:$A,"New_Zealanders",'Keyword Results'!$I:$I)</f>
        <v>0</v>
      </c>
      <c r="H91" s="3">
        <f>SUMIF('Keyword Results'!$A:$A,"New_Zealanders",'Keyword Results'!$J:$J)</f>
        <v>0</v>
      </c>
      <c r="I91" s="3">
        <f>SUMIF('Keyword Results'!$A:$A,"New_Zealanders",'Keyword Results'!$K:$K)</f>
        <v>0</v>
      </c>
      <c r="J91" s="3">
        <f>SUMIF('Keyword Results'!$A:$A,"New_Zealanders",'Keyword Results'!$L:$L)</f>
        <v>0</v>
      </c>
      <c r="K91" s="3">
        <f>SUMIF('Keyword Results'!$A:$A,"New_Zealanders",'Keyword Results'!$M:$M)</f>
        <v>0</v>
      </c>
      <c r="L91" s="3">
        <f>SUMIF('Keyword Results'!$A:$A,"New_Zealanders",'Keyword Results'!$N:$N)</f>
        <v>0</v>
      </c>
      <c r="M91" s="3">
        <f>SUMIF('Keyword Results'!$A:$A,"New_Zealanders",'Keyword Results'!$O:$O)</f>
        <v>0</v>
      </c>
      <c r="N91" s="3">
        <f>SUMIF('Keyword Results'!$A:$A,"New_Zealanders",'Keyword Results'!$P:$P)</f>
        <v>0</v>
      </c>
      <c r="O91" s="3">
        <f>SUMIF('Keyword Results'!$A:$A,"New_Zealanders",'Keyword Results'!$Q:$Q)</f>
        <v>0</v>
      </c>
      <c r="P91" s="3">
        <f>SUMIF('Keyword Results'!$A:$A,"New_Zealanders",'Keyword Results'!$R:$R)</f>
        <v>0</v>
      </c>
      <c r="Q91" s="3">
        <f>SUMIF('Keyword Results'!$A:$A,"New_Zealanders",'Keyword Results'!$S:$S)</f>
        <v>0</v>
      </c>
      <c r="R91" s="3">
        <f>SUMIF('Keyword Results'!$A:$A,"New_Zealanders",'Keyword Results'!$T:$T)</f>
        <v>0</v>
      </c>
      <c r="S91" s="3">
        <f>SUMIF('Keyword Results'!$A:$A,"New_Zealanders",'Keyword Results'!$U:$U)</f>
        <v>0</v>
      </c>
      <c r="T91" s="3">
        <f>SUMIF('Keyword Results'!$A:$A,"New_Zealanders",'Keyword Results'!$V:$V)</f>
        <v>0</v>
      </c>
      <c r="U91" s="3">
        <f>SUMIF('Keyword Results'!$A:$A,"New_Zealanders",'Keyword Results'!$W:$W)</f>
        <v>0</v>
      </c>
      <c r="V91" s="3">
        <f>SUMIF('Keyword Results'!$A:$A,"New_Zealanders",'Keyword Results'!$X:$X)</f>
        <v>0</v>
      </c>
      <c r="W91" s="3">
        <f t="shared" si="1"/>
        <v>0</v>
      </c>
    </row>
    <row r="92" spans="1:23" x14ac:dyDescent="0.2">
      <c r="A92" s="2" t="s">
        <v>119</v>
      </c>
      <c r="B92" s="3">
        <f>SUMIF('Keyword Results'!$A:$A,"Ni-Vanuatu",'Keyword Results'!$D:$D)</f>
        <v>7</v>
      </c>
      <c r="C92" s="3">
        <f>SUMIF('Keyword Results'!$A:$A,"Ni-Vanuatu",'Keyword Results'!$E:$E)</f>
        <v>2</v>
      </c>
      <c r="D92" s="3">
        <f>SUMIF('Keyword Results'!$A:$A,"Ni-Vanuatu",'Keyword Results'!$F:$F)</f>
        <v>0</v>
      </c>
      <c r="E92" s="3">
        <f>SUMIF('Keyword Results'!$A:$A,"Ni-Vanuatu",'Keyword Results'!$G:$G)</f>
        <v>0</v>
      </c>
      <c r="F92" s="3">
        <f>SUMIF('Keyword Results'!$A:$A,"Ni-Vanuatu",'Keyword Results'!$H:$H)</f>
        <v>0</v>
      </c>
      <c r="G92" s="3">
        <f>SUMIF('Keyword Results'!$A:$A,"Ni-Vanuatu",'Keyword Results'!$I:$I)</f>
        <v>0</v>
      </c>
      <c r="H92" s="3">
        <f>SUMIF('Keyword Results'!$A:$A,"Ni-Vanuatu",'Keyword Results'!$J:$J)</f>
        <v>0</v>
      </c>
      <c r="I92" s="3">
        <f>SUMIF('Keyword Results'!$A:$A,"Ni-Vanuatu",'Keyword Results'!$K:$K)</f>
        <v>0</v>
      </c>
      <c r="J92" s="3">
        <f>SUMIF('Keyword Results'!$A:$A,"Ni-Vanuatu",'Keyword Results'!$L:$L)</f>
        <v>0</v>
      </c>
      <c r="K92" s="3">
        <f>SUMIF('Keyword Results'!$A:$A,"Ni-Vanuatu",'Keyword Results'!$M:$M)</f>
        <v>0</v>
      </c>
      <c r="L92" s="3">
        <f>SUMIF('Keyword Results'!$A:$A,"Ni-Vanuatu",'Keyword Results'!$N:$N)</f>
        <v>0</v>
      </c>
      <c r="M92" s="3">
        <f>SUMIF('Keyword Results'!$A:$A,"Ni-Vanuatu",'Keyword Results'!$O:$O)</f>
        <v>0</v>
      </c>
      <c r="N92" s="3">
        <f>SUMIF('Keyword Results'!$A:$A,"Ni-Vanuatu",'Keyword Results'!$P:$P)</f>
        <v>0</v>
      </c>
      <c r="O92" s="3">
        <f>SUMIF('Keyword Results'!$A:$A,"Ni-Vanuatu",'Keyword Results'!$Q:$Q)</f>
        <v>0</v>
      </c>
      <c r="P92" s="3">
        <f>SUMIF('Keyword Results'!$A:$A,"Ni-Vanuatu",'Keyword Results'!$R:$R)</f>
        <v>0</v>
      </c>
      <c r="Q92" s="3">
        <f>SUMIF('Keyword Results'!$A:$A,"Ni-Vanuatu",'Keyword Results'!$S:$S)</f>
        <v>0</v>
      </c>
      <c r="R92" s="3">
        <f>SUMIF('Keyword Results'!$A:$A,"Ni-Vanuatu",'Keyword Results'!$T:$T)</f>
        <v>0</v>
      </c>
      <c r="S92" s="3">
        <f>SUMIF('Keyword Results'!$A:$A,"Ni-Vanuatu",'Keyword Results'!$U:$U)</f>
        <v>0</v>
      </c>
      <c r="T92" s="3">
        <f>SUMIF('Keyword Results'!$A:$A,"Ni-Vanuatu",'Keyword Results'!$V:$V)</f>
        <v>0</v>
      </c>
      <c r="U92" s="3">
        <f>SUMIF('Keyword Results'!$A:$A,"Ni-Vanuatu",'Keyword Results'!$W:$W)</f>
        <v>0</v>
      </c>
      <c r="V92" s="3">
        <f>SUMIF('Keyword Results'!$A:$A,"Ni-Vanuatu",'Keyword Results'!$X:$X)</f>
        <v>0</v>
      </c>
      <c r="W92" s="3">
        <f t="shared" si="1"/>
        <v>2</v>
      </c>
    </row>
    <row r="93" spans="1:23" x14ac:dyDescent="0.2">
      <c r="A93" s="2" t="s">
        <v>120</v>
      </c>
      <c r="B93" s="3">
        <f>SUMIF('Keyword Results'!$A:$A,"Nicaraguans",'Keyword Results'!$D:$D)</f>
        <v>6</v>
      </c>
      <c r="C93" s="3">
        <f>SUMIF('Keyword Results'!$A:$A,"Nicaraguans",'Keyword Results'!$E:$E)</f>
        <v>1</v>
      </c>
      <c r="D93" s="3">
        <f>SUMIF('Keyword Results'!$A:$A,"Nicaraguans",'Keyword Results'!$F:$F)</f>
        <v>0</v>
      </c>
      <c r="E93" s="3">
        <f>SUMIF('Keyword Results'!$A:$A,"Nicaraguans",'Keyword Results'!$G:$G)</f>
        <v>1</v>
      </c>
      <c r="F93" s="3">
        <f>SUMIF('Keyword Results'!$A:$A,"Nicaraguans",'Keyword Results'!$H:$H)</f>
        <v>0</v>
      </c>
      <c r="G93" s="3">
        <f>SUMIF('Keyword Results'!$A:$A,"Nicaraguans",'Keyword Results'!$I:$I)</f>
        <v>0</v>
      </c>
      <c r="H93" s="3">
        <f>SUMIF('Keyword Results'!$A:$A,"Nicaraguans",'Keyword Results'!$J:$J)</f>
        <v>0</v>
      </c>
      <c r="I93" s="3">
        <f>SUMIF('Keyword Results'!$A:$A,"Nicaraguans",'Keyword Results'!$K:$K)</f>
        <v>0</v>
      </c>
      <c r="J93" s="3">
        <f>SUMIF('Keyword Results'!$A:$A,"Nicaraguans",'Keyword Results'!$L:$L)</f>
        <v>0</v>
      </c>
      <c r="K93" s="3">
        <f>SUMIF('Keyword Results'!$A:$A,"Nicaraguans",'Keyword Results'!$M:$M)</f>
        <v>0</v>
      </c>
      <c r="L93" s="3">
        <f>SUMIF('Keyword Results'!$A:$A,"Nicaraguans",'Keyword Results'!$N:$N)</f>
        <v>0</v>
      </c>
      <c r="M93" s="3">
        <f>SUMIF('Keyword Results'!$A:$A,"Nicaraguans",'Keyword Results'!$O:$O)</f>
        <v>0</v>
      </c>
      <c r="N93" s="3">
        <f>SUMIF('Keyword Results'!$A:$A,"Nicaraguans",'Keyword Results'!$P:$P)</f>
        <v>0</v>
      </c>
      <c r="O93" s="3">
        <f>SUMIF('Keyword Results'!$A:$A,"Nicaraguans",'Keyword Results'!$Q:$Q)</f>
        <v>0</v>
      </c>
      <c r="P93" s="3">
        <f>SUMIF('Keyword Results'!$A:$A,"Nicaraguans",'Keyword Results'!$R:$R)</f>
        <v>0</v>
      </c>
      <c r="Q93" s="3">
        <f>SUMIF('Keyword Results'!$A:$A,"Nicaraguans",'Keyword Results'!$S:$S)</f>
        <v>0</v>
      </c>
      <c r="R93" s="3">
        <f>SUMIF('Keyword Results'!$A:$A,"Nicaraguans",'Keyword Results'!$T:$T)</f>
        <v>0</v>
      </c>
      <c r="S93" s="3">
        <f>SUMIF('Keyword Results'!$A:$A,"Nicaraguans",'Keyword Results'!$U:$U)</f>
        <v>0</v>
      </c>
      <c r="T93" s="3">
        <f>SUMIF('Keyword Results'!$A:$A,"Nicaraguans",'Keyword Results'!$V:$V)</f>
        <v>0</v>
      </c>
      <c r="U93" s="3">
        <f>SUMIF('Keyword Results'!$A:$A,"Nicaraguans",'Keyword Results'!$W:$W)</f>
        <v>0</v>
      </c>
      <c r="V93" s="3">
        <f>SUMIF('Keyword Results'!$A:$A,"Nicaraguans",'Keyword Results'!$X:$X)</f>
        <v>0</v>
      </c>
      <c r="W93" s="3">
        <f t="shared" si="1"/>
        <v>2</v>
      </c>
    </row>
    <row r="94" spans="1:23" x14ac:dyDescent="0.2">
      <c r="A94" s="2" t="s">
        <v>121</v>
      </c>
      <c r="B94" s="3">
        <f>SUMIF('Keyword Results'!$A:$A,"Nigerians",'Keyword Results'!$D:$D)</f>
        <v>4</v>
      </c>
      <c r="C94" s="3">
        <f>SUMIF('Keyword Results'!$A:$A,"Nigerians",'Keyword Results'!$E:$E)</f>
        <v>0</v>
      </c>
      <c r="D94" s="3">
        <f>SUMIF('Keyword Results'!$A:$A,"Nigerians",'Keyword Results'!$F:$F)</f>
        <v>0</v>
      </c>
      <c r="E94" s="3">
        <f>SUMIF('Keyword Results'!$A:$A,"Nigerians",'Keyword Results'!$G:$G)</f>
        <v>0</v>
      </c>
      <c r="F94" s="3">
        <f>SUMIF('Keyword Results'!$A:$A,"Nigerians",'Keyword Results'!$H:$H)</f>
        <v>0</v>
      </c>
      <c r="G94" s="3">
        <f>SUMIF('Keyword Results'!$A:$A,"Nigerians",'Keyword Results'!$I:$I)</f>
        <v>0</v>
      </c>
      <c r="H94" s="3">
        <f>SUMIF('Keyword Results'!$A:$A,"Nigerians",'Keyword Results'!$J:$J)</f>
        <v>0</v>
      </c>
      <c r="I94" s="3">
        <f>SUMIF('Keyword Results'!$A:$A,"Nigerians",'Keyword Results'!$K:$K)</f>
        <v>0</v>
      </c>
      <c r="J94" s="3">
        <f>SUMIF('Keyword Results'!$A:$A,"Nigerians",'Keyword Results'!$L:$L)</f>
        <v>0</v>
      </c>
      <c r="K94" s="3">
        <f>SUMIF('Keyword Results'!$A:$A,"Nigerians",'Keyword Results'!$M:$M)</f>
        <v>0</v>
      </c>
      <c r="L94" s="3">
        <f>SUMIF('Keyword Results'!$A:$A,"Nigerians",'Keyword Results'!$N:$N)</f>
        <v>0</v>
      </c>
      <c r="M94" s="3">
        <f>SUMIF('Keyword Results'!$A:$A,"Nigerians",'Keyword Results'!$O:$O)</f>
        <v>0</v>
      </c>
      <c r="N94" s="3">
        <f>SUMIF('Keyword Results'!$A:$A,"Nigerians",'Keyword Results'!$P:$P)</f>
        <v>0</v>
      </c>
      <c r="O94" s="3">
        <f>SUMIF('Keyword Results'!$A:$A,"Nigerians",'Keyword Results'!$Q:$Q)</f>
        <v>0</v>
      </c>
      <c r="P94" s="3">
        <f>SUMIF('Keyword Results'!$A:$A,"Nigerians",'Keyword Results'!$R:$R)</f>
        <v>0</v>
      </c>
      <c r="Q94" s="3">
        <f>SUMIF('Keyword Results'!$A:$A,"Nigerians",'Keyword Results'!$S:$S)</f>
        <v>0</v>
      </c>
      <c r="R94" s="3">
        <f>SUMIF('Keyword Results'!$A:$A,"Nigerians",'Keyword Results'!$T:$T)</f>
        <v>0</v>
      </c>
      <c r="S94" s="3">
        <f>SUMIF('Keyword Results'!$A:$A,"Nigerians",'Keyword Results'!$U:$U)</f>
        <v>0</v>
      </c>
      <c r="T94" s="3">
        <f>SUMIF('Keyword Results'!$A:$A,"Nigerians",'Keyword Results'!$V:$V)</f>
        <v>0</v>
      </c>
      <c r="U94" s="3">
        <f>SUMIF('Keyword Results'!$A:$A,"Nigerians",'Keyword Results'!$W:$W)</f>
        <v>0</v>
      </c>
      <c r="V94" s="3">
        <f>SUMIF('Keyword Results'!$A:$A,"Nigerians",'Keyword Results'!$X:$X)</f>
        <v>0</v>
      </c>
      <c r="W94" s="3">
        <f t="shared" si="1"/>
        <v>0</v>
      </c>
    </row>
    <row r="95" spans="1:23" x14ac:dyDescent="0.2">
      <c r="A95" s="2" t="s">
        <v>122</v>
      </c>
      <c r="B95" s="3">
        <f>SUMIF('Keyword Results'!$A:$A,"Norwegians",'Keyword Results'!$D:$D)</f>
        <v>8</v>
      </c>
      <c r="C95" s="3">
        <f>SUMIF('Keyword Results'!$A:$A,"Norwegians",'Keyword Results'!$E:$E)</f>
        <v>0</v>
      </c>
      <c r="D95" s="3">
        <f>SUMIF('Keyword Results'!$A:$A,"Norwegians",'Keyword Results'!$F:$F)</f>
        <v>0</v>
      </c>
      <c r="E95" s="3">
        <f>SUMIF('Keyword Results'!$A:$A,"Norwegians",'Keyword Results'!$G:$G)</f>
        <v>0</v>
      </c>
      <c r="F95" s="3">
        <f>SUMIF('Keyword Results'!$A:$A,"Norwegians",'Keyword Results'!$H:$H)</f>
        <v>0</v>
      </c>
      <c r="G95" s="3">
        <f>SUMIF('Keyword Results'!$A:$A,"Norwegians",'Keyword Results'!$I:$I)</f>
        <v>0</v>
      </c>
      <c r="H95" s="3">
        <f>SUMIF('Keyword Results'!$A:$A,"Norwegians",'Keyword Results'!$J:$J)</f>
        <v>0</v>
      </c>
      <c r="I95" s="3">
        <f>SUMIF('Keyword Results'!$A:$A,"Norwegians",'Keyword Results'!$K:$K)</f>
        <v>0</v>
      </c>
      <c r="J95" s="3">
        <f>SUMIF('Keyword Results'!$A:$A,"Norwegians",'Keyword Results'!$L:$L)</f>
        <v>0</v>
      </c>
      <c r="K95" s="3">
        <f>SUMIF('Keyword Results'!$A:$A,"Norwegians",'Keyword Results'!$M:$M)</f>
        <v>0</v>
      </c>
      <c r="L95" s="3">
        <f>SUMIF('Keyword Results'!$A:$A,"Norwegians",'Keyword Results'!$N:$N)</f>
        <v>0</v>
      </c>
      <c r="M95" s="3">
        <f>SUMIF('Keyword Results'!$A:$A,"Norwegians",'Keyword Results'!$O:$O)</f>
        <v>0</v>
      </c>
      <c r="N95" s="3">
        <f>SUMIF('Keyword Results'!$A:$A,"Norwegians",'Keyword Results'!$P:$P)</f>
        <v>0</v>
      </c>
      <c r="O95" s="3">
        <f>SUMIF('Keyword Results'!$A:$A,"Norwegians",'Keyword Results'!$Q:$Q)</f>
        <v>0</v>
      </c>
      <c r="P95" s="3">
        <f>SUMIF('Keyword Results'!$A:$A,"Norwegians",'Keyword Results'!$R:$R)</f>
        <v>0</v>
      </c>
      <c r="Q95" s="3">
        <f>SUMIF('Keyword Results'!$A:$A,"Norwegians",'Keyword Results'!$S:$S)</f>
        <v>0</v>
      </c>
      <c r="R95" s="3">
        <f>SUMIF('Keyword Results'!$A:$A,"Norwegians",'Keyword Results'!$T:$T)</f>
        <v>0</v>
      </c>
      <c r="S95" s="3">
        <f>SUMIF('Keyword Results'!$A:$A,"Norwegians",'Keyword Results'!$U:$U)</f>
        <v>0</v>
      </c>
      <c r="T95" s="3">
        <f>SUMIF('Keyword Results'!$A:$A,"Norwegians",'Keyword Results'!$V:$V)</f>
        <v>0</v>
      </c>
      <c r="U95" s="3">
        <f>SUMIF('Keyword Results'!$A:$A,"Norwegians",'Keyword Results'!$W:$W)</f>
        <v>0</v>
      </c>
      <c r="V95" s="3">
        <f>SUMIF('Keyword Results'!$A:$A,"Norwegians",'Keyword Results'!$X:$X)</f>
        <v>0</v>
      </c>
      <c r="W95" s="3">
        <f t="shared" si="1"/>
        <v>0</v>
      </c>
    </row>
    <row r="96" spans="1:23" x14ac:dyDescent="0.2">
      <c r="A96" s="2" t="s">
        <v>123</v>
      </c>
      <c r="B96" s="3">
        <f>SUMIF('Keyword Results'!$A:$A,"Omanis",'Keyword Results'!$D:$D)</f>
        <v>12</v>
      </c>
      <c r="C96" s="3">
        <f>SUMIF('Keyword Results'!$A:$A,"Omanis",'Keyword Results'!$E:$E)</f>
        <v>0</v>
      </c>
      <c r="D96" s="3">
        <f>SUMIF('Keyword Results'!$A:$A,"Omanis",'Keyword Results'!$F:$F)</f>
        <v>0</v>
      </c>
      <c r="E96" s="3">
        <f>SUMIF('Keyword Results'!$A:$A,"Omanis",'Keyword Results'!$G:$G)</f>
        <v>0</v>
      </c>
      <c r="F96" s="3">
        <f>SUMIF('Keyword Results'!$A:$A,"Omanis",'Keyword Results'!$H:$H)</f>
        <v>0</v>
      </c>
      <c r="G96" s="3">
        <f>SUMIF('Keyword Results'!$A:$A,"Omanis",'Keyword Results'!$I:$I)</f>
        <v>0</v>
      </c>
      <c r="H96" s="3">
        <f>SUMIF('Keyword Results'!$A:$A,"Omanis",'Keyword Results'!$J:$J)</f>
        <v>0</v>
      </c>
      <c r="I96" s="3">
        <f>SUMIF('Keyword Results'!$A:$A,"Omanis",'Keyword Results'!$K:$K)</f>
        <v>0</v>
      </c>
      <c r="J96" s="3">
        <f>SUMIF('Keyword Results'!$A:$A,"Omanis",'Keyword Results'!$L:$L)</f>
        <v>0</v>
      </c>
      <c r="K96" s="3">
        <f>SUMIF('Keyword Results'!$A:$A,"Omanis",'Keyword Results'!$M:$M)</f>
        <v>0</v>
      </c>
      <c r="L96" s="3">
        <f>SUMIF('Keyword Results'!$A:$A,"Omanis",'Keyword Results'!$N:$N)</f>
        <v>0</v>
      </c>
      <c r="M96" s="3">
        <f>SUMIF('Keyword Results'!$A:$A,"Omanis",'Keyword Results'!$O:$O)</f>
        <v>0</v>
      </c>
      <c r="N96" s="3">
        <f>SUMIF('Keyword Results'!$A:$A,"Omanis",'Keyword Results'!$P:$P)</f>
        <v>0</v>
      </c>
      <c r="O96" s="3">
        <f>SUMIF('Keyword Results'!$A:$A,"Omanis",'Keyword Results'!$Q:$Q)</f>
        <v>0</v>
      </c>
      <c r="P96" s="3">
        <f>SUMIF('Keyword Results'!$A:$A,"Omanis",'Keyword Results'!$R:$R)</f>
        <v>0</v>
      </c>
      <c r="Q96" s="3">
        <f>SUMIF('Keyword Results'!$A:$A,"Omanis",'Keyword Results'!$S:$S)</f>
        <v>0</v>
      </c>
      <c r="R96" s="3">
        <f>SUMIF('Keyword Results'!$A:$A,"Omanis",'Keyword Results'!$T:$T)</f>
        <v>0</v>
      </c>
      <c r="S96" s="3">
        <f>SUMIF('Keyword Results'!$A:$A,"Omanis",'Keyword Results'!$U:$U)</f>
        <v>0</v>
      </c>
      <c r="T96" s="3">
        <f>SUMIF('Keyword Results'!$A:$A,"Omanis",'Keyword Results'!$V:$V)</f>
        <v>0</v>
      </c>
      <c r="U96" s="3">
        <f>SUMIF('Keyword Results'!$A:$A,"Omanis",'Keyword Results'!$W:$W)</f>
        <v>0</v>
      </c>
      <c r="V96" s="3">
        <f>SUMIF('Keyword Results'!$A:$A,"Omanis",'Keyword Results'!$X:$X)</f>
        <v>0</v>
      </c>
      <c r="W96" s="3">
        <f t="shared" si="1"/>
        <v>0</v>
      </c>
    </row>
    <row r="97" spans="1:23" x14ac:dyDescent="0.2">
      <c r="A97" s="2" t="s">
        <v>124</v>
      </c>
      <c r="B97" s="3">
        <f>SUMIF('Keyword Results'!$A:$A,"Pakistanis",'Keyword Results'!$D:$D)</f>
        <v>8</v>
      </c>
      <c r="C97" s="3">
        <f>SUMIF('Keyword Results'!$A:$A,"Pakistanis",'Keyword Results'!$E:$E)</f>
        <v>1</v>
      </c>
      <c r="D97" s="3">
        <f>SUMIF('Keyword Results'!$A:$A,"Pakistanis",'Keyword Results'!$F:$F)</f>
        <v>0</v>
      </c>
      <c r="E97" s="3">
        <f>SUMIF('Keyword Results'!$A:$A,"Pakistanis",'Keyword Results'!$G:$G)</f>
        <v>0</v>
      </c>
      <c r="F97" s="3">
        <f>SUMIF('Keyword Results'!$A:$A,"Pakistanis",'Keyword Results'!$H:$H)</f>
        <v>0</v>
      </c>
      <c r="G97" s="3">
        <f>SUMIF('Keyword Results'!$A:$A,"Pakistanis",'Keyword Results'!$I:$I)</f>
        <v>0</v>
      </c>
      <c r="H97" s="3">
        <f>SUMIF('Keyword Results'!$A:$A,"Pakistanis",'Keyword Results'!$J:$J)</f>
        <v>0</v>
      </c>
      <c r="I97" s="3">
        <f>SUMIF('Keyword Results'!$A:$A,"Pakistanis",'Keyword Results'!$K:$K)</f>
        <v>0</v>
      </c>
      <c r="J97" s="3">
        <f>SUMIF('Keyword Results'!$A:$A,"Pakistanis",'Keyword Results'!$L:$L)</f>
        <v>0</v>
      </c>
      <c r="K97" s="3">
        <f>SUMIF('Keyword Results'!$A:$A,"Pakistanis",'Keyword Results'!$M:$M)</f>
        <v>0</v>
      </c>
      <c r="L97" s="3">
        <f>SUMIF('Keyword Results'!$A:$A,"Pakistanis",'Keyword Results'!$N:$N)</f>
        <v>0</v>
      </c>
      <c r="M97" s="3">
        <f>SUMIF('Keyword Results'!$A:$A,"Pakistanis",'Keyword Results'!$O:$O)</f>
        <v>0</v>
      </c>
      <c r="N97" s="3">
        <f>SUMIF('Keyword Results'!$A:$A,"Pakistanis",'Keyword Results'!$P:$P)</f>
        <v>0</v>
      </c>
      <c r="O97" s="3">
        <f>SUMIF('Keyword Results'!$A:$A,"Pakistanis",'Keyword Results'!$Q:$Q)</f>
        <v>0</v>
      </c>
      <c r="P97" s="3">
        <f>SUMIF('Keyword Results'!$A:$A,"Pakistanis",'Keyword Results'!$R:$R)</f>
        <v>0</v>
      </c>
      <c r="Q97" s="3">
        <f>SUMIF('Keyword Results'!$A:$A,"Pakistanis",'Keyword Results'!$S:$S)</f>
        <v>0</v>
      </c>
      <c r="R97" s="3">
        <f>SUMIF('Keyword Results'!$A:$A,"Pakistanis",'Keyword Results'!$T:$T)</f>
        <v>0</v>
      </c>
      <c r="S97" s="3">
        <f>SUMIF('Keyword Results'!$A:$A,"Pakistanis",'Keyword Results'!$U:$U)</f>
        <v>0</v>
      </c>
      <c r="T97" s="3">
        <f>SUMIF('Keyword Results'!$A:$A,"Pakistanis",'Keyword Results'!$V:$V)</f>
        <v>0</v>
      </c>
      <c r="U97" s="3">
        <f>SUMIF('Keyword Results'!$A:$A,"Pakistanis",'Keyword Results'!$W:$W)</f>
        <v>0</v>
      </c>
      <c r="V97" s="3">
        <f>SUMIF('Keyword Results'!$A:$A,"Pakistanis",'Keyword Results'!$X:$X)</f>
        <v>0</v>
      </c>
      <c r="W97" s="3">
        <f t="shared" si="1"/>
        <v>1</v>
      </c>
    </row>
    <row r="98" spans="1:23" x14ac:dyDescent="0.2">
      <c r="A98" s="2" t="s">
        <v>125</v>
      </c>
      <c r="B98" s="3">
        <f>SUMIF('Keyword Results'!$A:$A,"Palestinians",'Keyword Results'!$D:$D)</f>
        <v>8</v>
      </c>
      <c r="C98" s="3">
        <f>SUMIF('Keyword Results'!$A:$A,"Palestinians",'Keyword Results'!$E:$E)</f>
        <v>4</v>
      </c>
      <c r="D98" s="3">
        <f>SUMIF('Keyword Results'!$A:$A,"Palestinians",'Keyword Results'!$F:$F)</f>
        <v>0</v>
      </c>
      <c r="E98" s="3">
        <f>SUMIF('Keyword Results'!$A:$A,"Palestinians",'Keyword Results'!$G:$G)</f>
        <v>0</v>
      </c>
      <c r="F98" s="3">
        <f>SUMIF('Keyword Results'!$A:$A,"Palestinians",'Keyword Results'!$H:$H)</f>
        <v>0</v>
      </c>
      <c r="G98" s="3">
        <f>SUMIF('Keyword Results'!$A:$A,"Palestinians",'Keyword Results'!$I:$I)</f>
        <v>0</v>
      </c>
      <c r="H98" s="3">
        <f>SUMIF('Keyword Results'!$A:$A,"Palestinians",'Keyword Results'!$J:$J)</f>
        <v>0</v>
      </c>
      <c r="I98" s="3">
        <f>SUMIF('Keyword Results'!$A:$A,"Palestinians",'Keyword Results'!$K:$K)</f>
        <v>0</v>
      </c>
      <c r="J98" s="3">
        <f>SUMIF('Keyword Results'!$A:$A,"Palestinians",'Keyword Results'!$L:$L)</f>
        <v>0</v>
      </c>
      <c r="K98" s="3">
        <f>SUMIF('Keyword Results'!$A:$A,"Palestinians",'Keyword Results'!$M:$M)</f>
        <v>0</v>
      </c>
      <c r="L98" s="3">
        <f>SUMIF('Keyword Results'!$A:$A,"Palestinians",'Keyword Results'!$N:$N)</f>
        <v>0</v>
      </c>
      <c r="M98" s="3">
        <f>SUMIF('Keyword Results'!$A:$A,"Palestinians",'Keyword Results'!$O:$O)</f>
        <v>0</v>
      </c>
      <c r="N98" s="3">
        <f>SUMIF('Keyword Results'!$A:$A,"Palestinians",'Keyword Results'!$P:$P)</f>
        <v>0</v>
      </c>
      <c r="O98" s="3">
        <f>SUMIF('Keyword Results'!$A:$A,"Palestinians",'Keyword Results'!$Q:$Q)</f>
        <v>0</v>
      </c>
      <c r="P98" s="3">
        <f>SUMIF('Keyword Results'!$A:$A,"Palestinians",'Keyword Results'!$R:$R)</f>
        <v>0</v>
      </c>
      <c r="Q98" s="3">
        <f>SUMIF('Keyword Results'!$A:$A,"Palestinians",'Keyword Results'!$S:$S)</f>
        <v>0</v>
      </c>
      <c r="R98" s="3">
        <f>SUMIF('Keyword Results'!$A:$A,"Palestinians",'Keyword Results'!$T:$T)</f>
        <v>0</v>
      </c>
      <c r="S98" s="3">
        <f>SUMIF('Keyword Results'!$A:$A,"Palestinians",'Keyword Results'!$U:$U)</f>
        <v>0</v>
      </c>
      <c r="T98" s="3">
        <f>SUMIF('Keyword Results'!$A:$A,"Palestinians",'Keyword Results'!$V:$V)</f>
        <v>0</v>
      </c>
      <c r="U98" s="3">
        <f>SUMIF('Keyword Results'!$A:$A,"Palestinians",'Keyword Results'!$W:$W)</f>
        <v>0</v>
      </c>
      <c r="V98" s="3">
        <f>SUMIF('Keyword Results'!$A:$A,"Palestinians",'Keyword Results'!$X:$X)</f>
        <v>0</v>
      </c>
      <c r="W98" s="3">
        <f t="shared" si="1"/>
        <v>4</v>
      </c>
    </row>
    <row r="99" spans="1:23" x14ac:dyDescent="0.2">
      <c r="A99" s="2" t="s">
        <v>126</v>
      </c>
      <c r="B99" s="3">
        <f>SUMIF('Keyword Results'!$A:$A,"Panamanians",'Keyword Results'!$D:$D)</f>
        <v>9</v>
      </c>
      <c r="C99" s="3">
        <f>SUMIF('Keyword Results'!$A:$A,"Panamanians",'Keyword Results'!$E:$E)</f>
        <v>0</v>
      </c>
      <c r="D99" s="3">
        <f>SUMIF('Keyword Results'!$A:$A,"Panamanians",'Keyword Results'!$F:$F)</f>
        <v>0</v>
      </c>
      <c r="E99" s="3">
        <f>SUMIF('Keyword Results'!$A:$A,"Panamanians",'Keyword Results'!$G:$G)</f>
        <v>0</v>
      </c>
      <c r="F99" s="3">
        <f>SUMIF('Keyword Results'!$A:$A,"Panamanians",'Keyword Results'!$H:$H)</f>
        <v>0</v>
      </c>
      <c r="G99" s="3">
        <f>SUMIF('Keyword Results'!$A:$A,"Panamanians",'Keyword Results'!$I:$I)</f>
        <v>0</v>
      </c>
      <c r="H99" s="3">
        <f>SUMIF('Keyword Results'!$A:$A,"Panamanians",'Keyword Results'!$J:$J)</f>
        <v>0</v>
      </c>
      <c r="I99" s="3">
        <f>SUMIF('Keyword Results'!$A:$A,"Panamanians",'Keyword Results'!$K:$K)</f>
        <v>0</v>
      </c>
      <c r="J99" s="3">
        <f>SUMIF('Keyword Results'!$A:$A,"Panamanians",'Keyword Results'!$L:$L)</f>
        <v>0</v>
      </c>
      <c r="K99" s="3">
        <f>SUMIF('Keyword Results'!$A:$A,"Panamanians",'Keyword Results'!$M:$M)</f>
        <v>0</v>
      </c>
      <c r="L99" s="3">
        <f>SUMIF('Keyword Results'!$A:$A,"Panamanians",'Keyword Results'!$N:$N)</f>
        <v>0</v>
      </c>
      <c r="M99" s="3">
        <f>SUMIF('Keyword Results'!$A:$A,"Panamanians",'Keyword Results'!$O:$O)</f>
        <v>0</v>
      </c>
      <c r="N99" s="3">
        <f>SUMIF('Keyword Results'!$A:$A,"Panamanians",'Keyword Results'!$P:$P)</f>
        <v>0</v>
      </c>
      <c r="O99" s="3">
        <f>SUMIF('Keyword Results'!$A:$A,"Panamanians",'Keyword Results'!$Q:$Q)</f>
        <v>0</v>
      </c>
      <c r="P99" s="3">
        <f>SUMIF('Keyword Results'!$A:$A,"Panamanians",'Keyword Results'!$R:$R)</f>
        <v>0</v>
      </c>
      <c r="Q99" s="3">
        <f>SUMIF('Keyword Results'!$A:$A,"Panamanians",'Keyword Results'!$S:$S)</f>
        <v>0</v>
      </c>
      <c r="R99" s="3">
        <f>SUMIF('Keyword Results'!$A:$A,"Panamanians",'Keyword Results'!$T:$T)</f>
        <v>0</v>
      </c>
      <c r="S99" s="3">
        <f>SUMIF('Keyword Results'!$A:$A,"Panamanians",'Keyword Results'!$U:$U)</f>
        <v>0</v>
      </c>
      <c r="T99" s="3">
        <f>SUMIF('Keyword Results'!$A:$A,"Panamanians",'Keyword Results'!$V:$V)</f>
        <v>0</v>
      </c>
      <c r="U99" s="3">
        <f>SUMIF('Keyword Results'!$A:$A,"Panamanians",'Keyword Results'!$W:$W)</f>
        <v>0</v>
      </c>
      <c r="V99" s="3">
        <f>SUMIF('Keyword Results'!$A:$A,"Panamanians",'Keyword Results'!$X:$X)</f>
        <v>0</v>
      </c>
      <c r="W99" s="3">
        <f t="shared" si="1"/>
        <v>0</v>
      </c>
    </row>
    <row r="100" spans="1:23" x14ac:dyDescent="0.2">
      <c r="A100" s="2" t="s">
        <v>127</v>
      </c>
      <c r="B100" s="3">
        <f>SUMIF('Keyword Results'!$A:$A,"Paraguayans",'Keyword Results'!$D:$D)</f>
        <v>12</v>
      </c>
      <c r="C100" s="3">
        <f>SUMIF('Keyword Results'!$A:$A,"Paraguayans",'Keyword Results'!$E:$E)</f>
        <v>0</v>
      </c>
      <c r="D100" s="3">
        <f>SUMIF('Keyword Results'!$A:$A,"Paraguayans",'Keyword Results'!$F:$F)</f>
        <v>0</v>
      </c>
      <c r="E100" s="3">
        <f>SUMIF('Keyword Results'!$A:$A,"Paraguayans",'Keyword Results'!$G:$G)</f>
        <v>0</v>
      </c>
      <c r="F100" s="3">
        <f>SUMIF('Keyword Results'!$A:$A,"Paraguayans",'Keyword Results'!$H:$H)</f>
        <v>0</v>
      </c>
      <c r="G100" s="3">
        <f>SUMIF('Keyword Results'!$A:$A,"Paraguayans",'Keyword Results'!$I:$I)</f>
        <v>0</v>
      </c>
      <c r="H100" s="3">
        <f>SUMIF('Keyword Results'!$A:$A,"Paraguayans",'Keyword Results'!$J:$J)</f>
        <v>0</v>
      </c>
      <c r="I100" s="3">
        <f>SUMIF('Keyword Results'!$A:$A,"Paraguayans",'Keyword Results'!$K:$K)</f>
        <v>0</v>
      </c>
      <c r="J100" s="3">
        <f>SUMIF('Keyword Results'!$A:$A,"Paraguayans",'Keyword Results'!$L:$L)</f>
        <v>0</v>
      </c>
      <c r="K100" s="3">
        <f>SUMIF('Keyword Results'!$A:$A,"Paraguayans",'Keyword Results'!$M:$M)</f>
        <v>0</v>
      </c>
      <c r="L100" s="3">
        <f>SUMIF('Keyword Results'!$A:$A,"Paraguayans",'Keyword Results'!$N:$N)</f>
        <v>0</v>
      </c>
      <c r="M100" s="3">
        <f>SUMIF('Keyword Results'!$A:$A,"Paraguayans",'Keyword Results'!$O:$O)</f>
        <v>0</v>
      </c>
      <c r="N100" s="3">
        <f>SUMIF('Keyword Results'!$A:$A,"Paraguayans",'Keyword Results'!$P:$P)</f>
        <v>0</v>
      </c>
      <c r="O100" s="3">
        <f>SUMIF('Keyword Results'!$A:$A,"Paraguayans",'Keyword Results'!$Q:$Q)</f>
        <v>0</v>
      </c>
      <c r="P100" s="3">
        <f>SUMIF('Keyword Results'!$A:$A,"Paraguayans",'Keyword Results'!$R:$R)</f>
        <v>0</v>
      </c>
      <c r="Q100" s="3">
        <f>SUMIF('Keyword Results'!$A:$A,"Paraguayans",'Keyword Results'!$S:$S)</f>
        <v>0</v>
      </c>
      <c r="R100" s="3">
        <f>SUMIF('Keyword Results'!$A:$A,"Paraguayans",'Keyword Results'!$T:$T)</f>
        <v>0</v>
      </c>
      <c r="S100" s="3">
        <f>SUMIF('Keyword Results'!$A:$A,"Paraguayans",'Keyword Results'!$U:$U)</f>
        <v>0</v>
      </c>
      <c r="T100" s="3">
        <f>SUMIF('Keyword Results'!$A:$A,"Paraguayans",'Keyword Results'!$V:$V)</f>
        <v>0</v>
      </c>
      <c r="U100" s="3">
        <f>SUMIF('Keyword Results'!$A:$A,"Paraguayans",'Keyword Results'!$W:$W)</f>
        <v>0</v>
      </c>
      <c r="V100" s="3">
        <f>SUMIF('Keyword Results'!$A:$A,"Paraguayans",'Keyword Results'!$X:$X)</f>
        <v>0</v>
      </c>
      <c r="W100" s="3">
        <f t="shared" si="1"/>
        <v>0</v>
      </c>
    </row>
    <row r="101" spans="1:23" x14ac:dyDescent="0.2">
      <c r="A101" s="2" t="s">
        <v>128</v>
      </c>
      <c r="B101" s="3">
        <f>SUMIF('Keyword Results'!$A:$A,"Peruvians",'Keyword Results'!$D:$D)</f>
        <v>6</v>
      </c>
      <c r="C101" s="3">
        <f>SUMIF('Keyword Results'!$A:$A,"Peruvians",'Keyword Results'!$E:$E)</f>
        <v>0</v>
      </c>
      <c r="D101" s="3">
        <f>SUMIF('Keyword Results'!$A:$A,"Peruvians",'Keyword Results'!$F:$F)</f>
        <v>0</v>
      </c>
      <c r="E101" s="3">
        <f>SUMIF('Keyword Results'!$A:$A,"Peruvians",'Keyword Results'!$G:$G)</f>
        <v>0</v>
      </c>
      <c r="F101" s="3">
        <f>SUMIF('Keyword Results'!$A:$A,"Peruvians",'Keyword Results'!$H:$H)</f>
        <v>0</v>
      </c>
      <c r="G101" s="3">
        <f>SUMIF('Keyword Results'!$A:$A,"Peruvians",'Keyword Results'!$I:$I)</f>
        <v>0</v>
      </c>
      <c r="H101" s="3">
        <f>SUMIF('Keyword Results'!$A:$A,"Peruvians",'Keyword Results'!$J:$J)</f>
        <v>0</v>
      </c>
      <c r="I101" s="3">
        <f>SUMIF('Keyword Results'!$A:$A,"Peruvians",'Keyword Results'!$K:$K)</f>
        <v>0</v>
      </c>
      <c r="J101" s="3">
        <f>SUMIF('Keyword Results'!$A:$A,"Peruvians",'Keyword Results'!$L:$L)</f>
        <v>0</v>
      </c>
      <c r="K101" s="3">
        <f>SUMIF('Keyword Results'!$A:$A,"Peruvians",'Keyword Results'!$M:$M)</f>
        <v>0</v>
      </c>
      <c r="L101" s="3">
        <f>SUMIF('Keyword Results'!$A:$A,"Peruvians",'Keyword Results'!$N:$N)</f>
        <v>0</v>
      </c>
      <c r="M101" s="3">
        <f>SUMIF('Keyword Results'!$A:$A,"Peruvians",'Keyword Results'!$O:$O)</f>
        <v>0</v>
      </c>
      <c r="N101" s="3">
        <f>SUMIF('Keyword Results'!$A:$A,"Peruvians",'Keyword Results'!$P:$P)</f>
        <v>0</v>
      </c>
      <c r="O101" s="3">
        <f>SUMIF('Keyword Results'!$A:$A,"Peruvians",'Keyword Results'!$Q:$Q)</f>
        <v>0</v>
      </c>
      <c r="P101" s="3">
        <f>SUMIF('Keyword Results'!$A:$A,"Peruvians",'Keyword Results'!$R:$R)</f>
        <v>0</v>
      </c>
      <c r="Q101" s="3">
        <f>SUMIF('Keyword Results'!$A:$A,"Peruvians",'Keyword Results'!$S:$S)</f>
        <v>0</v>
      </c>
      <c r="R101" s="3">
        <f>SUMIF('Keyword Results'!$A:$A,"Peruvians",'Keyword Results'!$T:$T)</f>
        <v>0</v>
      </c>
      <c r="S101" s="3">
        <f>SUMIF('Keyword Results'!$A:$A,"Peruvians",'Keyword Results'!$U:$U)</f>
        <v>0</v>
      </c>
      <c r="T101" s="3">
        <f>SUMIF('Keyword Results'!$A:$A,"Peruvians",'Keyword Results'!$V:$V)</f>
        <v>0</v>
      </c>
      <c r="U101" s="3">
        <f>SUMIF('Keyword Results'!$A:$A,"Peruvians",'Keyword Results'!$W:$W)</f>
        <v>0</v>
      </c>
      <c r="V101" s="3">
        <f>SUMIF('Keyword Results'!$A:$A,"Peruvians",'Keyword Results'!$X:$X)</f>
        <v>0</v>
      </c>
      <c r="W101" s="3">
        <f t="shared" si="1"/>
        <v>0</v>
      </c>
    </row>
    <row r="102" spans="1:23" x14ac:dyDescent="0.2">
      <c r="A102" s="2" t="s">
        <v>129</v>
      </c>
      <c r="B102" s="3">
        <f>SUMIF('Keyword Results'!$A:$A,"Polish_people",'Keyword Results'!$D:$D)</f>
        <v>10</v>
      </c>
      <c r="C102" s="3">
        <f>SUMIF('Keyword Results'!$A:$A,"Polish_people",'Keyword Results'!$E:$E)</f>
        <v>2</v>
      </c>
      <c r="D102" s="3">
        <f>SUMIF('Keyword Results'!$A:$A,"Polish_people",'Keyword Results'!$F:$F)</f>
        <v>0</v>
      </c>
      <c r="E102" s="3">
        <f>SUMIF('Keyword Results'!$A:$A,"Polish_people",'Keyword Results'!$G:$G)</f>
        <v>0</v>
      </c>
      <c r="F102" s="3">
        <f>SUMIF('Keyword Results'!$A:$A,"Polish_people",'Keyword Results'!$H:$H)</f>
        <v>0</v>
      </c>
      <c r="G102" s="3">
        <f>SUMIF('Keyword Results'!$A:$A,"Polish_people",'Keyword Results'!$I:$I)</f>
        <v>0</v>
      </c>
      <c r="H102" s="3">
        <f>SUMIF('Keyword Results'!$A:$A,"Polish_people",'Keyword Results'!$J:$J)</f>
        <v>0</v>
      </c>
      <c r="I102" s="3">
        <f>SUMIF('Keyword Results'!$A:$A,"Polish_people",'Keyword Results'!$K:$K)</f>
        <v>0</v>
      </c>
      <c r="J102" s="3">
        <f>SUMIF('Keyword Results'!$A:$A,"Polish_people",'Keyword Results'!$L:$L)</f>
        <v>0</v>
      </c>
      <c r="K102" s="3">
        <f>SUMIF('Keyword Results'!$A:$A,"Polish_people",'Keyword Results'!$M:$M)</f>
        <v>0</v>
      </c>
      <c r="L102" s="3">
        <f>SUMIF('Keyword Results'!$A:$A,"Polish_people",'Keyword Results'!$N:$N)</f>
        <v>0</v>
      </c>
      <c r="M102" s="3">
        <f>SUMIF('Keyword Results'!$A:$A,"Polish_people",'Keyword Results'!$O:$O)</f>
        <v>0</v>
      </c>
      <c r="N102" s="3">
        <f>SUMIF('Keyword Results'!$A:$A,"Polish_people",'Keyword Results'!$P:$P)</f>
        <v>0</v>
      </c>
      <c r="O102" s="3">
        <f>SUMIF('Keyword Results'!$A:$A,"Polish_people",'Keyword Results'!$Q:$Q)</f>
        <v>0</v>
      </c>
      <c r="P102" s="3">
        <f>SUMIF('Keyword Results'!$A:$A,"Polish_people",'Keyword Results'!$R:$R)</f>
        <v>0</v>
      </c>
      <c r="Q102" s="3">
        <f>SUMIF('Keyword Results'!$A:$A,"Polish_people",'Keyword Results'!$S:$S)</f>
        <v>0</v>
      </c>
      <c r="R102" s="3">
        <f>SUMIF('Keyword Results'!$A:$A,"Polish_people",'Keyword Results'!$T:$T)</f>
        <v>0</v>
      </c>
      <c r="S102" s="3">
        <f>SUMIF('Keyword Results'!$A:$A,"Polish_people",'Keyword Results'!$U:$U)</f>
        <v>0</v>
      </c>
      <c r="T102" s="3">
        <f>SUMIF('Keyword Results'!$A:$A,"Polish_people",'Keyword Results'!$V:$V)</f>
        <v>0</v>
      </c>
      <c r="U102" s="3">
        <f>SUMIF('Keyword Results'!$A:$A,"Polish_people",'Keyword Results'!$W:$W)</f>
        <v>0</v>
      </c>
      <c r="V102" s="3">
        <f>SUMIF('Keyword Results'!$A:$A,"Polish_people",'Keyword Results'!$X:$X)</f>
        <v>0</v>
      </c>
      <c r="W102" s="3">
        <f t="shared" si="1"/>
        <v>2</v>
      </c>
    </row>
    <row r="103" spans="1:23" x14ac:dyDescent="0.2">
      <c r="A103" s="2" t="s">
        <v>130</v>
      </c>
      <c r="B103" s="3">
        <f>SUMIF('Keyword Results'!$A:$A,"Portuguese_people",'Keyword Results'!$D:$D)</f>
        <v>9</v>
      </c>
      <c r="C103" s="3">
        <f>SUMIF('Keyword Results'!$A:$A,"Portuguese_people",'Keyword Results'!$E:$E)</f>
        <v>6</v>
      </c>
      <c r="D103" s="3">
        <f>SUMIF('Keyword Results'!$A:$A,"Portuguese_people",'Keyword Results'!$F:$F)</f>
        <v>0</v>
      </c>
      <c r="E103" s="3">
        <f>SUMIF('Keyword Results'!$A:$A,"Portuguese_people",'Keyword Results'!$G:$G)</f>
        <v>0</v>
      </c>
      <c r="F103" s="3">
        <f>SUMIF('Keyword Results'!$A:$A,"Portuguese_people",'Keyword Results'!$H:$H)</f>
        <v>0</v>
      </c>
      <c r="G103" s="3">
        <f>SUMIF('Keyword Results'!$A:$A,"Portuguese_people",'Keyword Results'!$I:$I)</f>
        <v>0</v>
      </c>
      <c r="H103" s="3">
        <f>SUMIF('Keyword Results'!$A:$A,"Portuguese_people",'Keyword Results'!$J:$J)</f>
        <v>0</v>
      </c>
      <c r="I103" s="3">
        <f>SUMIF('Keyword Results'!$A:$A,"Portuguese_people",'Keyword Results'!$K:$K)</f>
        <v>0</v>
      </c>
      <c r="J103" s="3">
        <f>SUMIF('Keyword Results'!$A:$A,"Portuguese_people",'Keyword Results'!$L:$L)</f>
        <v>0</v>
      </c>
      <c r="K103" s="3">
        <f>SUMIF('Keyword Results'!$A:$A,"Portuguese_people",'Keyword Results'!$M:$M)</f>
        <v>0</v>
      </c>
      <c r="L103" s="3">
        <f>SUMIF('Keyword Results'!$A:$A,"Portuguese_people",'Keyword Results'!$N:$N)</f>
        <v>0</v>
      </c>
      <c r="M103" s="3">
        <f>SUMIF('Keyword Results'!$A:$A,"Portuguese_people",'Keyword Results'!$O:$O)</f>
        <v>0</v>
      </c>
      <c r="N103" s="3">
        <f>SUMIF('Keyword Results'!$A:$A,"Portuguese_people",'Keyword Results'!$P:$P)</f>
        <v>0</v>
      </c>
      <c r="O103" s="3">
        <f>SUMIF('Keyword Results'!$A:$A,"Portuguese_people",'Keyword Results'!$Q:$Q)</f>
        <v>0</v>
      </c>
      <c r="P103" s="3">
        <f>SUMIF('Keyword Results'!$A:$A,"Portuguese_people",'Keyword Results'!$R:$R)</f>
        <v>0</v>
      </c>
      <c r="Q103" s="3">
        <f>SUMIF('Keyword Results'!$A:$A,"Portuguese_people",'Keyword Results'!$S:$S)</f>
        <v>0</v>
      </c>
      <c r="R103" s="3">
        <f>SUMIF('Keyword Results'!$A:$A,"Portuguese_people",'Keyword Results'!$T:$T)</f>
        <v>0</v>
      </c>
      <c r="S103" s="3">
        <f>SUMIF('Keyword Results'!$A:$A,"Portuguese_people",'Keyword Results'!$U:$U)</f>
        <v>0</v>
      </c>
      <c r="T103" s="3">
        <f>SUMIF('Keyword Results'!$A:$A,"Portuguese_people",'Keyword Results'!$V:$V)</f>
        <v>0</v>
      </c>
      <c r="U103" s="3">
        <f>SUMIF('Keyword Results'!$A:$A,"Portuguese_people",'Keyword Results'!$W:$W)</f>
        <v>0</v>
      </c>
      <c r="V103" s="3">
        <f>SUMIF('Keyword Results'!$A:$A,"Portuguese_people",'Keyword Results'!$X:$X)</f>
        <v>0</v>
      </c>
      <c r="W103" s="3">
        <f t="shared" si="1"/>
        <v>6</v>
      </c>
    </row>
    <row r="104" spans="1:23" x14ac:dyDescent="0.2">
      <c r="A104" s="2" t="s">
        <v>131</v>
      </c>
      <c r="B104" s="3">
        <f>SUMIF('Keyword Results'!$A:$A,"Qataris",'Keyword Results'!$D:$D)</f>
        <v>12</v>
      </c>
      <c r="C104" s="3">
        <f>SUMIF('Keyword Results'!$A:$A,"Qataris",'Keyword Results'!$E:$E)</f>
        <v>0</v>
      </c>
      <c r="D104" s="3">
        <f>SUMIF('Keyword Results'!$A:$A,"Qataris",'Keyword Results'!$F:$F)</f>
        <v>0</v>
      </c>
      <c r="E104" s="3">
        <f>SUMIF('Keyword Results'!$A:$A,"Qataris",'Keyword Results'!$G:$G)</f>
        <v>0</v>
      </c>
      <c r="F104" s="3">
        <f>SUMIF('Keyword Results'!$A:$A,"Qataris",'Keyword Results'!$H:$H)</f>
        <v>0</v>
      </c>
      <c r="G104" s="3">
        <f>SUMIF('Keyword Results'!$A:$A,"Qataris",'Keyword Results'!$I:$I)</f>
        <v>0</v>
      </c>
      <c r="H104" s="3">
        <f>SUMIF('Keyword Results'!$A:$A,"Qataris",'Keyword Results'!$J:$J)</f>
        <v>0</v>
      </c>
      <c r="I104" s="3">
        <f>SUMIF('Keyword Results'!$A:$A,"Qataris",'Keyword Results'!$K:$K)</f>
        <v>0</v>
      </c>
      <c r="J104" s="3">
        <f>SUMIF('Keyword Results'!$A:$A,"Qataris",'Keyword Results'!$L:$L)</f>
        <v>0</v>
      </c>
      <c r="K104" s="3">
        <f>SUMIF('Keyword Results'!$A:$A,"Qataris",'Keyword Results'!$M:$M)</f>
        <v>0</v>
      </c>
      <c r="L104" s="3">
        <f>SUMIF('Keyword Results'!$A:$A,"Qataris",'Keyword Results'!$N:$N)</f>
        <v>0</v>
      </c>
      <c r="M104" s="3">
        <f>SUMIF('Keyword Results'!$A:$A,"Qataris",'Keyword Results'!$O:$O)</f>
        <v>0</v>
      </c>
      <c r="N104" s="3">
        <f>SUMIF('Keyword Results'!$A:$A,"Qataris",'Keyword Results'!$P:$P)</f>
        <v>0</v>
      </c>
      <c r="O104" s="3">
        <f>SUMIF('Keyword Results'!$A:$A,"Qataris",'Keyword Results'!$Q:$Q)</f>
        <v>0</v>
      </c>
      <c r="P104" s="3">
        <f>SUMIF('Keyword Results'!$A:$A,"Qataris",'Keyword Results'!$R:$R)</f>
        <v>0</v>
      </c>
      <c r="Q104" s="3">
        <f>SUMIF('Keyword Results'!$A:$A,"Qataris",'Keyword Results'!$S:$S)</f>
        <v>0</v>
      </c>
      <c r="R104" s="3">
        <f>SUMIF('Keyword Results'!$A:$A,"Qataris",'Keyword Results'!$T:$T)</f>
        <v>0</v>
      </c>
      <c r="S104" s="3">
        <f>SUMIF('Keyword Results'!$A:$A,"Qataris",'Keyword Results'!$U:$U)</f>
        <v>0</v>
      </c>
      <c r="T104" s="3">
        <f>SUMIF('Keyword Results'!$A:$A,"Qataris",'Keyword Results'!$V:$V)</f>
        <v>0</v>
      </c>
      <c r="U104" s="3">
        <f>SUMIF('Keyword Results'!$A:$A,"Qataris",'Keyword Results'!$W:$W)</f>
        <v>0</v>
      </c>
      <c r="V104" s="3">
        <f>SUMIF('Keyword Results'!$A:$A,"Qataris",'Keyword Results'!$X:$X)</f>
        <v>0</v>
      </c>
      <c r="W104" s="3">
        <f t="shared" si="1"/>
        <v>0</v>
      </c>
    </row>
    <row r="105" spans="1:23" x14ac:dyDescent="0.2">
      <c r="A105" s="2" t="s">
        <v>132</v>
      </c>
      <c r="B105" s="3">
        <f>SUMIF('Keyword Results'!$A:$A,"Romanians",'Keyword Results'!$D:$D)</f>
        <v>8</v>
      </c>
      <c r="C105" s="3">
        <f>SUMIF('Keyword Results'!$A:$A,"Romanians",'Keyword Results'!$E:$E)</f>
        <v>0</v>
      </c>
      <c r="D105" s="3">
        <f>SUMIF('Keyword Results'!$A:$A,"Romanians",'Keyword Results'!$F:$F)</f>
        <v>0</v>
      </c>
      <c r="E105" s="3">
        <f>SUMIF('Keyword Results'!$A:$A,"Romanians",'Keyword Results'!$G:$G)</f>
        <v>0</v>
      </c>
      <c r="F105" s="3">
        <f>SUMIF('Keyword Results'!$A:$A,"Romanians",'Keyword Results'!$H:$H)</f>
        <v>0</v>
      </c>
      <c r="G105" s="3">
        <f>SUMIF('Keyword Results'!$A:$A,"Romanians",'Keyword Results'!$I:$I)</f>
        <v>1</v>
      </c>
      <c r="H105" s="3">
        <f>SUMIF('Keyword Results'!$A:$A,"Romanians",'Keyword Results'!$J:$J)</f>
        <v>0</v>
      </c>
      <c r="I105" s="3">
        <f>SUMIF('Keyword Results'!$A:$A,"Romanians",'Keyword Results'!$K:$K)</f>
        <v>0</v>
      </c>
      <c r="J105" s="3">
        <f>SUMIF('Keyword Results'!$A:$A,"Romanians",'Keyword Results'!$L:$L)</f>
        <v>0</v>
      </c>
      <c r="K105" s="3">
        <f>SUMIF('Keyword Results'!$A:$A,"Romanians",'Keyword Results'!$M:$M)</f>
        <v>0</v>
      </c>
      <c r="L105" s="3">
        <f>SUMIF('Keyword Results'!$A:$A,"Romanians",'Keyword Results'!$N:$N)</f>
        <v>0</v>
      </c>
      <c r="M105" s="3">
        <f>SUMIF('Keyword Results'!$A:$A,"Romanians",'Keyword Results'!$O:$O)</f>
        <v>0</v>
      </c>
      <c r="N105" s="3">
        <f>SUMIF('Keyword Results'!$A:$A,"Romanians",'Keyword Results'!$P:$P)</f>
        <v>0</v>
      </c>
      <c r="O105" s="3">
        <f>SUMIF('Keyword Results'!$A:$A,"Romanians",'Keyword Results'!$Q:$Q)</f>
        <v>0</v>
      </c>
      <c r="P105" s="3">
        <f>SUMIF('Keyword Results'!$A:$A,"Romanians",'Keyword Results'!$R:$R)</f>
        <v>0</v>
      </c>
      <c r="Q105" s="3">
        <f>SUMIF('Keyword Results'!$A:$A,"Romanians",'Keyword Results'!$S:$S)</f>
        <v>0</v>
      </c>
      <c r="R105" s="3">
        <f>SUMIF('Keyword Results'!$A:$A,"Romanians",'Keyword Results'!$T:$T)</f>
        <v>0</v>
      </c>
      <c r="S105" s="3">
        <f>SUMIF('Keyword Results'!$A:$A,"Romanians",'Keyword Results'!$U:$U)</f>
        <v>0</v>
      </c>
      <c r="T105" s="3">
        <f>SUMIF('Keyword Results'!$A:$A,"Romanians",'Keyword Results'!$V:$V)</f>
        <v>0</v>
      </c>
      <c r="U105" s="3">
        <f>SUMIF('Keyword Results'!$A:$A,"Romanians",'Keyword Results'!$W:$W)</f>
        <v>0</v>
      </c>
      <c r="V105" s="3">
        <f>SUMIF('Keyword Results'!$A:$A,"Romanians",'Keyword Results'!$X:$X)</f>
        <v>0</v>
      </c>
      <c r="W105" s="3">
        <f t="shared" si="1"/>
        <v>1</v>
      </c>
    </row>
    <row r="106" spans="1:23" x14ac:dyDescent="0.2">
      <c r="A106" s="2" t="s">
        <v>133</v>
      </c>
      <c r="B106" s="3">
        <f>SUMIF('Keyword Results'!$A:$A,"Russians",'Keyword Results'!$D:$D)</f>
        <v>11</v>
      </c>
      <c r="C106" s="3">
        <f>SUMIF('Keyword Results'!$A:$A,"Russians",'Keyword Results'!$E:$E)</f>
        <v>1</v>
      </c>
      <c r="D106" s="3">
        <f>SUMIF('Keyword Results'!$A:$A,"Russians",'Keyword Results'!$F:$F)</f>
        <v>0</v>
      </c>
      <c r="E106" s="3">
        <f>SUMIF('Keyword Results'!$A:$A,"Russians",'Keyword Results'!$G:$G)</f>
        <v>0</v>
      </c>
      <c r="F106" s="3">
        <f>SUMIF('Keyword Results'!$A:$A,"Russians",'Keyword Results'!$H:$H)</f>
        <v>0</v>
      </c>
      <c r="G106" s="3">
        <f>SUMIF('Keyword Results'!$A:$A,"Russians",'Keyword Results'!$I:$I)</f>
        <v>0</v>
      </c>
      <c r="H106" s="3">
        <f>SUMIF('Keyword Results'!$A:$A,"Russians",'Keyword Results'!$J:$J)</f>
        <v>0</v>
      </c>
      <c r="I106" s="3">
        <f>SUMIF('Keyword Results'!$A:$A,"Russians",'Keyword Results'!$K:$K)</f>
        <v>0</v>
      </c>
      <c r="J106" s="3">
        <f>SUMIF('Keyword Results'!$A:$A,"Russians",'Keyword Results'!$L:$L)</f>
        <v>0</v>
      </c>
      <c r="K106" s="3">
        <f>SUMIF('Keyword Results'!$A:$A,"Russians",'Keyword Results'!$M:$M)</f>
        <v>0</v>
      </c>
      <c r="L106" s="3">
        <f>SUMIF('Keyword Results'!$A:$A,"Russians",'Keyword Results'!$N:$N)</f>
        <v>0</v>
      </c>
      <c r="M106" s="3">
        <f>SUMIF('Keyword Results'!$A:$A,"Russians",'Keyword Results'!$O:$O)</f>
        <v>0</v>
      </c>
      <c r="N106" s="3">
        <f>SUMIF('Keyword Results'!$A:$A,"Russians",'Keyword Results'!$P:$P)</f>
        <v>0</v>
      </c>
      <c r="O106" s="3">
        <f>SUMIF('Keyword Results'!$A:$A,"Russians",'Keyword Results'!$Q:$Q)</f>
        <v>0</v>
      </c>
      <c r="P106" s="3">
        <f>SUMIF('Keyword Results'!$A:$A,"Russians",'Keyword Results'!$R:$R)</f>
        <v>0</v>
      </c>
      <c r="Q106" s="3">
        <f>SUMIF('Keyword Results'!$A:$A,"Russians",'Keyword Results'!$S:$S)</f>
        <v>0</v>
      </c>
      <c r="R106" s="3">
        <f>SUMIF('Keyword Results'!$A:$A,"Russians",'Keyword Results'!$T:$T)</f>
        <v>0</v>
      </c>
      <c r="S106" s="3">
        <f>SUMIF('Keyword Results'!$A:$A,"Russians",'Keyword Results'!$U:$U)</f>
        <v>0</v>
      </c>
      <c r="T106" s="3">
        <f>SUMIF('Keyword Results'!$A:$A,"Russians",'Keyword Results'!$V:$V)</f>
        <v>0</v>
      </c>
      <c r="U106" s="3">
        <f>SUMIF('Keyword Results'!$A:$A,"Russians",'Keyword Results'!$W:$W)</f>
        <v>0</v>
      </c>
      <c r="V106" s="3">
        <f>SUMIF('Keyword Results'!$A:$A,"Russians",'Keyword Results'!$X:$X)</f>
        <v>0</v>
      </c>
      <c r="W106" s="3">
        <f t="shared" si="1"/>
        <v>1</v>
      </c>
    </row>
    <row r="107" spans="1:23" x14ac:dyDescent="0.2">
      <c r="A107" s="2" t="s">
        <v>134</v>
      </c>
      <c r="B107" s="3">
        <f>SUMIF('Keyword Results'!$A:$A,"Salvadorans",'Keyword Results'!$D:$D)</f>
        <v>5</v>
      </c>
      <c r="C107" s="3">
        <f>SUMIF('Keyword Results'!$A:$A,"Salvadorans",'Keyword Results'!$E:$E)</f>
        <v>0</v>
      </c>
      <c r="D107" s="3">
        <f>SUMIF('Keyword Results'!$A:$A,"Salvadorans",'Keyword Results'!$F:$F)</f>
        <v>0</v>
      </c>
      <c r="E107" s="3">
        <f>SUMIF('Keyword Results'!$A:$A,"Salvadorans",'Keyword Results'!$G:$G)</f>
        <v>0</v>
      </c>
      <c r="F107" s="3">
        <f>SUMIF('Keyword Results'!$A:$A,"Salvadorans",'Keyword Results'!$H:$H)</f>
        <v>0</v>
      </c>
      <c r="G107" s="3">
        <f>SUMIF('Keyword Results'!$A:$A,"Salvadorans",'Keyword Results'!$I:$I)</f>
        <v>0</v>
      </c>
      <c r="H107" s="3">
        <f>SUMIF('Keyword Results'!$A:$A,"Salvadorans",'Keyword Results'!$J:$J)</f>
        <v>0</v>
      </c>
      <c r="I107" s="3">
        <f>SUMIF('Keyword Results'!$A:$A,"Salvadorans",'Keyword Results'!$K:$K)</f>
        <v>0</v>
      </c>
      <c r="J107" s="3">
        <f>SUMIF('Keyword Results'!$A:$A,"Salvadorans",'Keyword Results'!$L:$L)</f>
        <v>0</v>
      </c>
      <c r="K107" s="3">
        <f>SUMIF('Keyword Results'!$A:$A,"Salvadorans",'Keyword Results'!$M:$M)</f>
        <v>0</v>
      </c>
      <c r="L107" s="3">
        <f>SUMIF('Keyword Results'!$A:$A,"Salvadorans",'Keyword Results'!$N:$N)</f>
        <v>0</v>
      </c>
      <c r="M107" s="3">
        <f>SUMIF('Keyword Results'!$A:$A,"Salvadorans",'Keyword Results'!$O:$O)</f>
        <v>0</v>
      </c>
      <c r="N107" s="3">
        <f>SUMIF('Keyword Results'!$A:$A,"Salvadorans",'Keyword Results'!$P:$P)</f>
        <v>0</v>
      </c>
      <c r="O107" s="3">
        <f>SUMIF('Keyword Results'!$A:$A,"Salvadorans",'Keyword Results'!$Q:$Q)</f>
        <v>0</v>
      </c>
      <c r="P107" s="3">
        <f>SUMIF('Keyword Results'!$A:$A,"Salvadorans",'Keyword Results'!$R:$R)</f>
        <v>0</v>
      </c>
      <c r="Q107" s="3">
        <f>SUMIF('Keyword Results'!$A:$A,"Salvadorans",'Keyword Results'!$S:$S)</f>
        <v>0</v>
      </c>
      <c r="R107" s="3">
        <f>SUMIF('Keyword Results'!$A:$A,"Salvadorans",'Keyword Results'!$T:$T)</f>
        <v>0</v>
      </c>
      <c r="S107" s="3">
        <f>SUMIF('Keyword Results'!$A:$A,"Salvadorans",'Keyword Results'!$U:$U)</f>
        <v>0</v>
      </c>
      <c r="T107" s="3">
        <f>SUMIF('Keyword Results'!$A:$A,"Salvadorans",'Keyword Results'!$V:$V)</f>
        <v>0</v>
      </c>
      <c r="U107" s="3">
        <f>SUMIF('Keyword Results'!$A:$A,"Salvadorans",'Keyword Results'!$W:$W)</f>
        <v>0</v>
      </c>
      <c r="V107" s="3">
        <f>SUMIF('Keyword Results'!$A:$A,"Salvadorans",'Keyword Results'!$X:$X)</f>
        <v>0</v>
      </c>
      <c r="W107" s="3">
        <f t="shared" si="1"/>
        <v>0</v>
      </c>
    </row>
    <row r="108" spans="1:23" x14ac:dyDescent="0.2">
      <c r="A108" s="2" t="s">
        <v>135</v>
      </c>
      <c r="B108" s="3">
        <f>SUMIF('Keyword Results'!$A:$A,"Sammarinese",'Keyword Results'!$D:$D)</f>
        <v>8</v>
      </c>
      <c r="C108" s="3">
        <f>SUMIF('Keyword Results'!$A:$A,"Sammarinese",'Keyword Results'!$E:$E)</f>
        <v>0</v>
      </c>
      <c r="D108" s="3">
        <f>SUMIF('Keyword Results'!$A:$A,"Sammarinese",'Keyword Results'!$F:$F)</f>
        <v>0</v>
      </c>
      <c r="E108" s="3">
        <f>SUMIF('Keyword Results'!$A:$A,"Sammarinese",'Keyword Results'!$G:$G)</f>
        <v>0</v>
      </c>
      <c r="F108" s="3">
        <f>SUMIF('Keyword Results'!$A:$A,"Sammarinese",'Keyword Results'!$H:$H)</f>
        <v>0</v>
      </c>
      <c r="G108" s="3">
        <f>SUMIF('Keyword Results'!$A:$A,"Sammarinese",'Keyword Results'!$I:$I)</f>
        <v>0</v>
      </c>
      <c r="H108" s="3">
        <f>SUMIF('Keyword Results'!$A:$A,"Sammarinese",'Keyword Results'!$J:$J)</f>
        <v>0</v>
      </c>
      <c r="I108" s="3">
        <f>SUMIF('Keyword Results'!$A:$A,"Sammarinese",'Keyword Results'!$K:$K)</f>
        <v>0</v>
      </c>
      <c r="J108" s="3">
        <f>SUMIF('Keyword Results'!$A:$A,"Sammarinese",'Keyword Results'!$L:$L)</f>
        <v>0</v>
      </c>
      <c r="K108" s="3">
        <f>SUMIF('Keyword Results'!$A:$A,"Sammarinese",'Keyword Results'!$M:$M)</f>
        <v>0</v>
      </c>
      <c r="L108" s="3">
        <f>SUMIF('Keyword Results'!$A:$A,"Sammarinese",'Keyword Results'!$N:$N)</f>
        <v>0</v>
      </c>
      <c r="M108" s="3">
        <f>SUMIF('Keyword Results'!$A:$A,"Sammarinese",'Keyword Results'!$O:$O)</f>
        <v>0</v>
      </c>
      <c r="N108" s="3">
        <f>SUMIF('Keyword Results'!$A:$A,"Sammarinese",'Keyword Results'!$P:$P)</f>
        <v>0</v>
      </c>
      <c r="O108" s="3">
        <f>SUMIF('Keyword Results'!$A:$A,"Sammarinese",'Keyword Results'!$Q:$Q)</f>
        <v>0</v>
      </c>
      <c r="P108" s="3">
        <f>SUMIF('Keyword Results'!$A:$A,"Sammarinese",'Keyword Results'!$R:$R)</f>
        <v>0</v>
      </c>
      <c r="Q108" s="3">
        <f>SUMIF('Keyword Results'!$A:$A,"Sammarinese",'Keyword Results'!$S:$S)</f>
        <v>0</v>
      </c>
      <c r="R108" s="3">
        <f>SUMIF('Keyword Results'!$A:$A,"Sammarinese",'Keyword Results'!$T:$T)</f>
        <v>0</v>
      </c>
      <c r="S108" s="3">
        <f>SUMIF('Keyword Results'!$A:$A,"Sammarinese",'Keyword Results'!$U:$U)</f>
        <v>0</v>
      </c>
      <c r="T108" s="3">
        <f>SUMIF('Keyword Results'!$A:$A,"Sammarinese",'Keyword Results'!$V:$V)</f>
        <v>0</v>
      </c>
      <c r="U108" s="3">
        <f>SUMIF('Keyword Results'!$A:$A,"Sammarinese",'Keyword Results'!$W:$W)</f>
        <v>0</v>
      </c>
      <c r="V108" s="3">
        <f>SUMIF('Keyword Results'!$A:$A,"Sammarinese",'Keyword Results'!$X:$X)</f>
        <v>0</v>
      </c>
      <c r="W108" s="3">
        <f t="shared" si="1"/>
        <v>0</v>
      </c>
    </row>
    <row r="109" spans="1:23" x14ac:dyDescent="0.2">
      <c r="A109" s="2" t="s">
        <v>136</v>
      </c>
      <c r="B109" s="3">
        <f>SUMIF('Keyword Results'!$A:$A,"Samoans",'Keyword Results'!$D:$D)</f>
        <v>10</v>
      </c>
      <c r="C109" s="3">
        <f>SUMIF('Keyword Results'!$A:$A,"Samoans",'Keyword Results'!$E:$E)</f>
        <v>0</v>
      </c>
      <c r="D109" s="3">
        <f>SUMIF('Keyword Results'!$A:$A,"Samoans",'Keyword Results'!$F:$F)</f>
        <v>0</v>
      </c>
      <c r="E109" s="3">
        <f>SUMIF('Keyword Results'!$A:$A,"Samoans",'Keyword Results'!$G:$G)</f>
        <v>0</v>
      </c>
      <c r="F109" s="3">
        <f>SUMIF('Keyword Results'!$A:$A,"Samoans",'Keyword Results'!$H:$H)</f>
        <v>0</v>
      </c>
      <c r="G109" s="3">
        <f>SUMIF('Keyword Results'!$A:$A,"Samoans",'Keyword Results'!$I:$I)</f>
        <v>0</v>
      </c>
      <c r="H109" s="3">
        <f>SUMIF('Keyword Results'!$A:$A,"Samoans",'Keyword Results'!$J:$J)</f>
        <v>0</v>
      </c>
      <c r="I109" s="3">
        <f>SUMIF('Keyword Results'!$A:$A,"Samoans",'Keyword Results'!$K:$K)</f>
        <v>0</v>
      </c>
      <c r="J109" s="3">
        <f>SUMIF('Keyword Results'!$A:$A,"Samoans",'Keyword Results'!$L:$L)</f>
        <v>0</v>
      </c>
      <c r="K109" s="3">
        <f>SUMIF('Keyword Results'!$A:$A,"Samoans",'Keyword Results'!$M:$M)</f>
        <v>0</v>
      </c>
      <c r="L109" s="3">
        <f>SUMIF('Keyword Results'!$A:$A,"Samoans",'Keyword Results'!$N:$N)</f>
        <v>0</v>
      </c>
      <c r="M109" s="3">
        <f>SUMIF('Keyword Results'!$A:$A,"Samoans",'Keyword Results'!$O:$O)</f>
        <v>0</v>
      </c>
      <c r="N109" s="3">
        <f>SUMIF('Keyword Results'!$A:$A,"Samoans",'Keyword Results'!$P:$P)</f>
        <v>0</v>
      </c>
      <c r="O109" s="3">
        <f>SUMIF('Keyword Results'!$A:$A,"Samoans",'Keyword Results'!$Q:$Q)</f>
        <v>0</v>
      </c>
      <c r="P109" s="3">
        <f>SUMIF('Keyword Results'!$A:$A,"Samoans",'Keyword Results'!$R:$R)</f>
        <v>0</v>
      </c>
      <c r="Q109" s="3">
        <f>SUMIF('Keyword Results'!$A:$A,"Samoans",'Keyword Results'!$S:$S)</f>
        <v>0</v>
      </c>
      <c r="R109" s="3">
        <f>SUMIF('Keyword Results'!$A:$A,"Samoans",'Keyword Results'!$T:$T)</f>
        <v>0</v>
      </c>
      <c r="S109" s="3">
        <f>SUMIF('Keyword Results'!$A:$A,"Samoans",'Keyword Results'!$U:$U)</f>
        <v>0</v>
      </c>
      <c r="T109" s="3">
        <f>SUMIF('Keyword Results'!$A:$A,"Samoans",'Keyword Results'!$V:$V)</f>
        <v>0</v>
      </c>
      <c r="U109" s="3">
        <f>SUMIF('Keyword Results'!$A:$A,"Samoans",'Keyword Results'!$W:$W)</f>
        <v>0</v>
      </c>
      <c r="V109" s="3">
        <f>SUMIF('Keyword Results'!$A:$A,"Samoans",'Keyword Results'!$X:$X)</f>
        <v>0</v>
      </c>
      <c r="W109" s="3">
        <f t="shared" si="1"/>
        <v>0</v>
      </c>
    </row>
    <row r="110" spans="1:23" x14ac:dyDescent="0.2">
      <c r="A110" s="2" t="s">
        <v>137</v>
      </c>
      <c r="B110" s="3">
        <f>SUMIF('Keyword Results'!$A:$A,"Saudis",'Keyword Results'!$D:$D)</f>
        <v>9</v>
      </c>
      <c r="C110" s="3">
        <f>SUMIF('Keyword Results'!$A:$A,"Saudis",'Keyword Results'!$E:$E)</f>
        <v>0</v>
      </c>
      <c r="D110" s="3">
        <f>SUMIF('Keyword Results'!$A:$A,"Saudis",'Keyword Results'!$F:$F)</f>
        <v>0</v>
      </c>
      <c r="E110" s="3">
        <f>SUMIF('Keyword Results'!$A:$A,"Saudis",'Keyword Results'!$G:$G)</f>
        <v>0</v>
      </c>
      <c r="F110" s="3">
        <f>SUMIF('Keyword Results'!$A:$A,"Saudis",'Keyword Results'!$H:$H)</f>
        <v>0</v>
      </c>
      <c r="G110" s="3">
        <f>SUMIF('Keyword Results'!$A:$A,"Saudis",'Keyword Results'!$I:$I)</f>
        <v>0</v>
      </c>
      <c r="H110" s="3">
        <f>SUMIF('Keyword Results'!$A:$A,"Saudis",'Keyword Results'!$J:$J)</f>
        <v>0</v>
      </c>
      <c r="I110" s="3">
        <f>SUMIF('Keyword Results'!$A:$A,"Saudis",'Keyword Results'!$K:$K)</f>
        <v>0</v>
      </c>
      <c r="J110" s="3">
        <f>SUMIF('Keyword Results'!$A:$A,"Saudis",'Keyword Results'!$L:$L)</f>
        <v>0</v>
      </c>
      <c r="K110" s="3">
        <f>SUMIF('Keyword Results'!$A:$A,"Saudis",'Keyword Results'!$M:$M)</f>
        <v>0</v>
      </c>
      <c r="L110" s="3">
        <f>SUMIF('Keyword Results'!$A:$A,"Saudis",'Keyword Results'!$N:$N)</f>
        <v>0</v>
      </c>
      <c r="M110" s="3">
        <f>SUMIF('Keyword Results'!$A:$A,"Saudis",'Keyword Results'!$O:$O)</f>
        <v>0</v>
      </c>
      <c r="N110" s="3">
        <f>SUMIF('Keyword Results'!$A:$A,"Saudis",'Keyword Results'!$P:$P)</f>
        <v>0</v>
      </c>
      <c r="O110" s="3">
        <f>SUMIF('Keyword Results'!$A:$A,"Saudis",'Keyword Results'!$Q:$Q)</f>
        <v>0</v>
      </c>
      <c r="P110" s="3">
        <f>SUMIF('Keyword Results'!$A:$A,"Saudis",'Keyword Results'!$R:$R)</f>
        <v>0</v>
      </c>
      <c r="Q110" s="3">
        <f>SUMIF('Keyword Results'!$A:$A,"Saudis",'Keyword Results'!$S:$S)</f>
        <v>0</v>
      </c>
      <c r="R110" s="3">
        <f>SUMIF('Keyword Results'!$A:$A,"Saudis",'Keyword Results'!$T:$T)</f>
        <v>0</v>
      </c>
      <c r="S110" s="3">
        <f>SUMIF('Keyword Results'!$A:$A,"Saudis",'Keyword Results'!$U:$U)</f>
        <v>0</v>
      </c>
      <c r="T110" s="3">
        <f>SUMIF('Keyword Results'!$A:$A,"Saudis",'Keyword Results'!$V:$V)</f>
        <v>0</v>
      </c>
      <c r="U110" s="3">
        <f>SUMIF('Keyword Results'!$A:$A,"Saudis",'Keyword Results'!$W:$W)</f>
        <v>0</v>
      </c>
      <c r="V110" s="3">
        <f>SUMIF('Keyword Results'!$A:$A,"Saudis",'Keyword Results'!$X:$X)</f>
        <v>0</v>
      </c>
      <c r="W110" s="3">
        <f t="shared" si="1"/>
        <v>0</v>
      </c>
    </row>
    <row r="111" spans="1:23" x14ac:dyDescent="0.2">
      <c r="A111" s="2" t="s">
        <v>138</v>
      </c>
      <c r="B111" s="3">
        <f>SUMIF('Keyword Results'!$A:$A,"Scottish_people",'Keyword Results'!$D:$D)</f>
        <v>6</v>
      </c>
      <c r="C111" s="3">
        <f>SUMIF('Keyword Results'!$A:$A,"Scottish_people",'Keyword Results'!$E:$E)</f>
        <v>1</v>
      </c>
      <c r="D111" s="3">
        <f>SUMIF('Keyword Results'!$A:$A,"Scottish_people",'Keyword Results'!$F:$F)</f>
        <v>0</v>
      </c>
      <c r="E111" s="3">
        <f>SUMIF('Keyword Results'!$A:$A,"Scottish_people",'Keyword Results'!$G:$G)</f>
        <v>0</v>
      </c>
      <c r="F111" s="3">
        <f>SUMIF('Keyword Results'!$A:$A,"Scottish_people",'Keyword Results'!$H:$H)</f>
        <v>0</v>
      </c>
      <c r="G111" s="3">
        <f>SUMIF('Keyword Results'!$A:$A,"Scottish_people",'Keyword Results'!$I:$I)</f>
        <v>0</v>
      </c>
      <c r="H111" s="3">
        <f>SUMIF('Keyword Results'!$A:$A,"Scottish_people",'Keyword Results'!$J:$J)</f>
        <v>0</v>
      </c>
      <c r="I111" s="3">
        <f>SUMIF('Keyword Results'!$A:$A,"Scottish_people",'Keyword Results'!$K:$K)</f>
        <v>0</v>
      </c>
      <c r="J111" s="3">
        <f>SUMIF('Keyword Results'!$A:$A,"Scottish_people",'Keyword Results'!$L:$L)</f>
        <v>0</v>
      </c>
      <c r="K111" s="3">
        <f>SUMIF('Keyword Results'!$A:$A,"Scottish_people",'Keyword Results'!$M:$M)</f>
        <v>0</v>
      </c>
      <c r="L111" s="3">
        <f>SUMIF('Keyword Results'!$A:$A,"Scottish_people",'Keyword Results'!$N:$N)</f>
        <v>0</v>
      </c>
      <c r="M111" s="3">
        <f>SUMIF('Keyword Results'!$A:$A,"Scottish_people",'Keyword Results'!$O:$O)</f>
        <v>0</v>
      </c>
      <c r="N111" s="3">
        <f>SUMIF('Keyword Results'!$A:$A,"Scottish_people",'Keyword Results'!$P:$P)</f>
        <v>0</v>
      </c>
      <c r="O111" s="3">
        <f>SUMIF('Keyword Results'!$A:$A,"Scottish_people",'Keyword Results'!$Q:$Q)</f>
        <v>0</v>
      </c>
      <c r="P111" s="3">
        <f>SUMIF('Keyword Results'!$A:$A,"Scottish_people",'Keyword Results'!$R:$R)</f>
        <v>0</v>
      </c>
      <c r="Q111" s="3">
        <f>SUMIF('Keyword Results'!$A:$A,"Scottish_people",'Keyword Results'!$S:$S)</f>
        <v>0</v>
      </c>
      <c r="R111" s="3">
        <f>SUMIF('Keyword Results'!$A:$A,"Scottish_people",'Keyword Results'!$T:$T)</f>
        <v>0</v>
      </c>
      <c r="S111" s="3">
        <f>SUMIF('Keyword Results'!$A:$A,"Scottish_people",'Keyword Results'!$U:$U)</f>
        <v>0</v>
      </c>
      <c r="T111" s="3">
        <f>SUMIF('Keyword Results'!$A:$A,"Scottish_people",'Keyword Results'!$V:$V)</f>
        <v>0</v>
      </c>
      <c r="U111" s="3">
        <f>SUMIF('Keyword Results'!$A:$A,"Scottish_people",'Keyword Results'!$W:$W)</f>
        <v>0</v>
      </c>
      <c r="V111" s="3">
        <f>SUMIF('Keyword Results'!$A:$A,"Scottish_people",'Keyword Results'!$X:$X)</f>
        <v>0</v>
      </c>
      <c r="W111" s="3">
        <f t="shared" si="1"/>
        <v>1</v>
      </c>
    </row>
    <row r="112" spans="1:23" x14ac:dyDescent="0.2">
      <c r="A112" s="2" t="s">
        <v>139</v>
      </c>
      <c r="B112" s="3">
        <f>SUMIF('Keyword Results'!$A:$A,"Serbs",'Keyword Results'!$D:$D)</f>
        <v>8</v>
      </c>
      <c r="C112" s="3">
        <f>SUMIF('Keyword Results'!$A:$A,"Serbs",'Keyword Results'!$E:$E)</f>
        <v>0</v>
      </c>
      <c r="D112" s="3">
        <f>SUMIF('Keyword Results'!$A:$A,"Serbs",'Keyword Results'!$F:$F)</f>
        <v>0</v>
      </c>
      <c r="E112" s="3">
        <f>SUMIF('Keyword Results'!$A:$A,"Serbs",'Keyword Results'!$G:$G)</f>
        <v>0</v>
      </c>
      <c r="F112" s="3">
        <f>SUMIF('Keyword Results'!$A:$A,"Serbs",'Keyword Results'!$H:$H)</f>
        <v>0</v>
      </c>
      <c r="G112" s="3">
        <f>SUMIF('Keyword Results'!$A:$A,"Serbs",'Keyword Results'!$I:$I)</f>
        <v>0</v>
      </c>
      <c r="H112" s="3">
        <f>SUMIF('Keyword Results'!$A:$A,"Serbs",'Keyword Results'!$J:$J)</f>
        <v>0</v>
      </c>
      <c r="I112" s="3">
        <f>SUMIF('Keyword Results'!$A:$A,"Serbs",'Keyword Results'!$K:$K)</f>
        <v>0</v>
      </c>
      <c r="J112" s="3">
        <f>SUMIF('Keyword Results'!$A:$A,"Serbs",'Keyword Results'!$L:$L)</f>
        <v>0</v>
      </c>
      <c r="K112" s="3">
        <f>SUMIF('Keyword Results'!$A:$A,"Serbs",'Keyword Results'!$M:$M)</f>
        <v>0</v>
      </c>
      <c r="L112" s="3">
        <f>SUMIF('Keyword Results'!$A:$A,"Serbs",'Keyword Results'!$N:$N)</f>
        <v>0</v>
      </c>
      <c r="M112" s="3">
        <f>SUMIF('Keyword Results'!$A:$A,"Serbs",'Keyword Results'!$O:$O)</f>
        <v>0</v>
      </c>
      <c r="N112" s="3">
        <f>SUMIF('Keyword Results'!$A:$A,"Serbs",'Keyword Results'!$P:$P)</f>
        <v>0</v>
      </c>
      <c r="O112" s="3">
        <f>SUMIF('Keyword Results'!$A:$A,"Serbs",'Keyword Results'!$Q:$Q)</f>
        <v>0</v>
      </c>
      <c r="P112" s="3">
        <f>SUMIF('Keyword Results'!$A:$A,"Serbs",'Keyword Results'!$R:$R)</f>
        <v>0</v>
      </c>
      <c r="Q112" s="3">
        <f>SUMIF('Keyword Results'!$A:$A,"Serbs",'Keyword Results'!$S:$S)</f>
        <v>0</v>
      </c>
      <c r="R112" s="3">
        <f>SUMIF('Keyword Results'!$A:$A,"Serbs",'Keyword Results'!$T:$T)</f>
        <v>0</v>
      </c>
      <c r="S112" s="3">
        <f>SUMIF('Keyword Results'!$A:$A,"Serbs",'Keyword Results'!$U:$U)</f>
        <v>0</v>
      </c>
      <c r="T112" s="3">
        <f>SUMIF('Keyword Results'!$A:$A,"Serbs",'Keyword Results'!$V:$V)</f>
        <v>0</v>
      </c>
      <c r="U112" s="3">
        <f>SUMIF('Keyword Results'!$A:$A,"Serbs",'Keyword Results'!$W:$W)</f>
        <v>0</v>
      </c>
      <c r="V112" s="3">
        <f>SUMIF('Keyword Results'!$A:$A,"Serbs",'Keyword Results'!$X:$X)</f>
        <v>0</v>
      </c>
      <c r="W112" s="3">
        <f t="shared" si="1"/>
        <v>0</v>
      </c>
    </row>
    <row r="113" spans="1:23" x14ac:dyDescent="0.2">
      <c r="A113" s="2" t="s">
        <v>140</v>
      </c>
      <c r="B113" s="3">
        <f>SUMIF('Keyword Results'!$A:$A,"Singaporeans",'Keyword Results'!$D:$D)</f>
        <v>8</v>
      </c>
      <c r="C113" s="3">
        <f>SUMIF('Keyword Results'!$A:$A,"Singaporeans",'Keyword Results'!$E:$E)</f>
        <v>0</v>
      </c>
      <c r="D113" s="3">
        <f>SUMIF('Keyword Results'!$A:$A,"Singaporeans",'Keyword Results'!$F:$F)</f>
        <v>0</v>
      </c>
      <c r="E113" s="3">
        <f>SUMIF('Keyword Results'!$A:$A,"Singaporeans",'Keyword Results'!$G:$G)</f>
        <v>0</v>
      </c>
      <c r="F113" s="3">
        <f>SUMIF('Keyword Results'!$A:$A,"Singaporeans",'Keyword Results'!$H:$H)</f>
        <v>0</v>
      </c>
      <c r="G113" s="3">
        <f>SUMIF('Keyword Results'!$A:$A,"Singaporeans",'Keyword Results'!$I:$I)</f>
        <v>0</v>
      </c>
      <c r="H113" s="3">
        <f>SUMIF('Keyword Results'!$A:$A,"Singaporeans",'Keyword Results'!$J:$J)</f>
        <v>0</v>
      </c>
      <c r="I113" s="3">
        <f>SUMIF('Keyword Results'!$A:$A,"Singaporeans",'Keyword Results'!$K:$K)</f>
        <v>0</v>
      </c>
      <c r="J113" s="3">
        <f>SUMIF('Keyword Results'!$A:$A,"Singaporeans",'Keyword Results'!$L:$L)</f>
        <v>0</v>
      </c>
      <c r="K113" s="3">
        <f>SUMIF('Keyword Results'!$A:$A,"Singaporeans",'Keyword Results'!$M:$M)</f>
        <v>0</v>
      </c>
      <c r="L113" s="3">
        <f>SUMIF('Keyword Results'!$A:$A,"Singaporeans",'Keyword Results'!$N:$N)</f>
        <v>0</v>
      </c>
      <c r="M113" s="3">
        <f>SUMIF('Keyword Results'!$A:$A,"Singaporeans",'Keyword Results'!$O:$O)</f>
        <v>0</v>
      </c>
      <c r="N113" s="3">
        <f>SUMIF('Keyword Results'!$A:$A,"Singaporeans",'Keyword Results'!$P:$P)</f>
        <v>0</v>
      </c>
      <c r="O113" s="3">
        <f>SUMIF('Keyword Results'!$A:$A,"Singaporeans",'Keyword Results'!$Q:$Q)</f>
        <v>0</v>
      </c>
      <c r="P113" s="3">
        <f>SUMIF('Keyword Results'!$A:$A,"Singaporeans",'Keyword Results'!$R:$R)</f>
        <v>0</v>
      </c>
      <c r="Q113" s="3">
        <f>SUMIF('Keyword Results'!$A:$A,"Singaporeans",'Keyword Results'!$S:$S)</f>
        <v>0</v>
      </c>
      <c r="R113" s="3">
        <f>SUMIF('Keyword Results'!$A:$A,"Singaporeans",'Keyword Results'!$T:$T)</f>
        <v>0</v>
      </c>
      <c r="S113" s="3">
        <f>SUMIF('Keyword Results'!$A:$A,"Singaporeans",'Keyword Results'!$U:$U)</f>
        <v>0</v>
      </c>
      <c r="T113" s="3">
        <f>SUMIF('Keyword Results'!$A:$A,"Singaporeans",'Keyword Results'!$V:$V)</f>
        <v>0</v>
      </c>
      <c r="U113" s="3">
        <f>SUMIF('Keyword Results'!$A:$A,"Singaporeans",'Keyword Results'!$W:$W)</f>
        <v>0</v>
      </c>
      <c r="V113" s="3">
        <f>SUMIF('Keyword Results'!$A:$A,"Singaporeans",'Keyword Results'!$X:$X)</f>
        <v>0</v>
      </c>
      <c r="W113" s="3">
        <f t="shared" si="1"/>
        <v>0</v>
      </c>
    </row>
    <row r="114" spans="1:23" x14ac:dyDescent="0.2">
      <c r="A114" s="2" t="s">
        <v>141</v>
      </c>
      <c r="B114" s="3">
        <f>SUMIF('Keyword Results'!$A:$A,"Slovaks",'Keyword Results'!$D:$D)</f>
        <v>8</v>
      </c>
      <c r="C114" s="3">
        <f>SUMIF('Keyword Results'!$A:$A,"Slovaks",'Keyword Results'!$E:$E)</f>
        <v>0</v>
      </c>
      <c r="D114" s="3">
        <f>SUMIF('Keyword Results'!$A:$A,"Slovaks",'Keyword Results'!$F:$F)</f>
        <v>0</v>
      </c>
      <c r="E114" s="3">
        <f>SUMIF('Keyword Results'!$A:$A,"Slovaks",'Keyword Results'!$G:$G)</f>
        <v>0</v>
      </c>
      <c r="F114" s="3">
        <f>SUMIF('Keyword Results'!$A:$A,"Slovaks",'Keyword Results'!$H:$H)</f>
        <v>0</v>
      </c>
      <c r="G114" s="3">
        <f>SUMIF('Keyword Results'!$A:$A,"Slovaks",'Keyword Results'!$I:$I)</f>
        <v>0</v>
      </c>
      <c r="H114" s="3">
        <f>SUMIF('Keyword Results'!$A:$A,"Slovaks",'Keyword Results'!$J:$J)</f>
        <v>0</v>
      </c>
      <c r="I114" s="3">
        <f>SUMIF('Keyword Results'!$A:$A,"Slovaks",'Keyword Results'!$K:$K)</f>
        <v>0</v>
      </c>
      <c r="J114" s="3">
        <f>SUMIF('Keyword Results'!$A:$A,"Slovaks",'Keyword Results'!$L:$L)</f>
        <v>0</v>
      </c>
      <c r="K114" s="3">
        <f>SUMIF('Keyword Results'!$A:$A,"Slovaks",'Keyword Results'!$M:$M)</f>
        <v>0</v>
      </c>
      <c r="L114" s="3">
        <f>SUMIF('Keyword Results'!$A:$A,"Slovaks",'Keyword Results'!$N:$N)</f>
        <v>0</v>
      </c>
      <c r="M114" s="3">
        <f>SUMIF('Keyword Results'!$A:$A,"Slovaks",'Keyword Results'!$O:$O)</f>
        <v>0</v>
      </c>
      <c r="N114" s="3">
        <f>SUMIF('Keyword Results'!$A:$A,"Slovaks",'Keyword Results'!$P:$P)</f>
        <v>0</v>
      </c>
      <c r="O114" s="3">
        <f>SUMIF('Keyword Results'!$A:$A,"Slovaks",'Keyword Results'!$Q:$Q)</f>
        <v>0</v>
      </c>
      <c r="P114" s="3">
        <f>SUMIF('Keyword Results'!$A:$A,"Slovaks",'Keyword Results'!$R:$R)</f>
        <v>0</v>
      </c>
      <c r="Q114" s="3">
        <f>SUMIF('Keyword Results'!$A:$A,"Slovaks",'Keyword Results'!$S:$S)</f>
        <v>0</v>
      </c>
      <c r="R114" s="3">
        <f>SUMIF('Keyword Results'!$A:$A,"Slovaks",'Keyword Results'!$T:$T)</f>
        <v>0</v>
      </c>
      <c r="S114" s="3">
        <f>SUMIF('Keyword Results'!$A:$A,"Slovaks",'Keyword Results'!$U:$U)</f>
        <v>0</v>
      </c>
      <c r="T114" s="3">
        <f>SUMIF('Keyword Results'!$A:$A,"Slovaks",'Keyword Results'!$V:$V)</f>
        <v>0</v>
      </c>
      <c r="U114" s="3">
        <f>SUMIF('Keyword Results'!$A:$A,"Slovaks",'Keyword Results'!$W:$W)</f>
        <v>0</v>
      </c>
      <c r="V114" s="3">
        <f>SUMIF('Keyword Results'!$A:$A,"Slovaks",'Keyword Results'!$X:$X)</f>
        <v>0</v>
      </c>
      <c r="W114" s="3">
        <f t="shared" si="1"/>
        <v>0</v>
      </c>
    </row>
    <row r="115" spans="1:23" x14ac:dyDescent="0.2">
      <c r="A115" s="2" t="s">
        <v>142</v>
      </c>
      <c r="B115" s="3">
        <f>SUMIF('Keyword Results'!$A:$A,"Slovenes",'Keyword Results'!$D:$D)</f>
        <v>7</v>
      </c>
      <c r="C115" s="3">
        <f>SUMIF('Keyword Results'!$A:$A,"Slovenes",'Keyword Results'!$E:$E)</f>
        <v>0</v>
      </c>
      <c r="D115" s="3">
        <f>SUMIF('Keyword Results'!$A:$A,"Slovenes",'Keyword Results'!$F:$F)</f>
        <v>0</v>
      </c>
      <c r="E115" s="3">
        <f>SUMIF('Keyword Results'!$A:$A,"Slovenes",'Keyword Results'!$G:$G)</f>
        <v>0</v>
      </c>
      <c r="F115" s="3">
        <f>SUMIF('Keyword Results'!$A:$A,"Slovenes",'Keyword Results'!$H:$H)</f>
        <v>0</v>
      </c>
      <c r="G115" s="3">
        <f>SUMIF('Keyword Results'!$A:$A,"Slovenes",'Keyword Results'!$I:$I)</f>
        <v>0</v>
      </c>
      <c r="H115" s="3">
        <f>SUMIF('Keyword Results'!$A:$A,"Slovenes",'Keyword Results'!$J:$J)</f>
        <v>0</v>
      </c>
      <c r="I115" s="3">
        <f>SUMIF('Keyword Results'!$A:$A,"Slovenes",'Keyword Results'!$K:$K)</f>
        <v>0</v>
      </c>
      <c r="J115" s="3">
        <f>SUMIF('Keyword Results'!$A:$A,"Slovenes",'Keyword Results'!$L:$L)</f>
        <v>0</v>
      </c>
      <c r="K115" s="3">
        <f>SUMIF('Keyword Results'!$A:$A,"Slovenes",'Keyword Results'!$M:$M)</f>
        <v>0</v>
      </c>
      <c r="L115" s="3">
        <f>SUMIF('Keyword Results'!$A:$A,"Slovenes",'Keyword Results'!$N:$N)</f>
        <v>0</v>
      </c>
      <c r="M115" s="3">
        <f>SUMIF('Keyword Results'!$A:$A,"Slovenes",'Keyword Results'!$O:$O)</f>
        <v>0</v>
      </c>
      <c r="N115" s="3">
        <f>SUMIF('Keyword Results'!$A:$A,"Slovenes",'Keyword Results'!$P:$P)</f>
        <v>0</v>
      </c>
      <c r="O115" s="3">
        <f>SUMIF('Keyword Results'!$A:$A,"Slovenes",'Keyword Results'!$Q:$Q)</f>
        <v>0</v>
      </c>
      <c r="P115" s="3">
        <f>SUMIF('Keyword Results'!$A:$A,"Slovenes",'Keyword Results'!$R:$R)</f>
        <v>0</v>
      </c>
      <c r="Q115" s="3">
        <f>SUMIF('Keyword Results'!$A:$A,"Slovenes",'Keyword Results'!$S:$S)</f>
        <v>0</v>
      </c>
      <c r="R115" s="3">
        <f>SUMIF('Keyword Results'!$A:$A,"Slovenes",'Keyword Results'!$T:$T)</f>
        <v>0</v>
      </c>
      <c r="S115" s="3">
        <f>SUMIF('Keyword Results'!$A:$A,"Slovenes",'Keyword Results'!$U:$U)</f>
        <v>0</v>
      </c>
      <c r="T115" s="3">
        <f>SUMIF('Keyword Results'!$A:$A,"Slovenes",'Keyword Results'!$V:$V)</f>
        <v>0</v>
      </c>
      <c r="U115" s="3">
        <f>SUMIF('Keyword Results'!$A:$A,"Slovenes",'Keyword Results'!$W:$W)</f>
        <v>0</v>
      </c>
      <c r="V115" s="3">
        <f>SUMIF('Keyword Results'!$A:$A,"Slovenes",'Keyword Results'!$X:$X)</f>
        <v>0</v>
      </c>
      <c r="W115" s="3">
        <f t="shared" si="1"/>
        <v>0</v>
      </c>
    </row>
    <row r="116" spans="1:23" x14ac:dyDescent="0.2">
      <c r="A116" s="2" t="s">
        <v>143</v>
      </c>
      <c r="B116" s="3">
        <f>SUMIF('Keyword Results'!$A:$A,"Somali_people",'Keyword Results'!$D:$D)</f>
        <v>6</v>
      </c>
      <c r="C116" s="3">
        <f>SUMIF('Keyword Results'!$A:$A,"Somali_people",'Keyword Results'!$E:$E)</f>
        <v>0</v>
      </c>
      <c r="D116" s="3">
        <f>SUMIF('Keyword Results'!$A:$A,"Somali_people",'Keyword Results'!$F:$F)</f>
        <v>0</v>
      </c>
      <c r="E116" s="3">
        <f>SUMIF('Keyword Results'!$A:$A,"Somali_people",'Keyword Results'!$G:$G)</f>
        <v>0</v>
      </c>
      <c r="F116" s="3">
        <f>SUMIF('Keyword Results'!$A:$A,"Somali_people",'Keyword Results'!$H:$H)</f>
        <v>0</v>
      </c>
      <c r="G116" s="3">
        <f>SUMIF('Keyword Results'!$A:$A,"Somali_people",'Keyword Results'!$I:$I)</f>
        <v>0</v>
      </c>
      <c r="H116" s="3">
        <f>SUMIF('Keyword Results'!$A:$A,"Somali_people",'Keyword Results'!$J:$J)</f>
        <v>0</v>
      </c>
      <c r="I116" s="3">
        <f>SUMIF('Keyword Results'!$A:$A,"Somali_people",'Keyword Results'!$K:$K)</f>
        <v>0</v>
      </c>
      <c r="J116" s="3">
        <f>SUMIF('Keyword Results'!$A:$A,"Somali_people",'Keyword Results'!$L:$L)</f>
        <v>0</v>
      </c>
      <c r="K116" s="3">
        <f>SUMIF('Keyword Results'!$A:$A,"Somali_people",'Keyword Results'!$M:$M)</f>
        <v>0</v>
      </c>
      <c r="L116" s="3">
        <f>SUMIF('Keyword Results'!$A:$A,"Somali_people",'Keyword Results'!$N:$N)</f>
        <v>0</v>
      </c>
      <c r="M116" s="3">
        <f>SUMIF('Keyword Results'!$A:$A,"Somali_people",'Keyword Results'!$O:$O)</f>
        <v>0</v>
      </c>
      <c r="N116" s="3">
        <f>SUMIF('Keyword Results'!$A:$A,"Somali_people",'Keyword Results'!$P:$P)</f>
        <v>0</v>
      </c>
      <c r="O116" s="3">
        <f>SUMIF('Keyword Results'!$A:$A,"Somali_people",'Keyword Results'!$Q:$Q)</f>
        <v>0</v>
      </c>
      <c r="P116" s="3">
        <f>SUMIF('Keyword Results'!$A:$A,"Somali_people",'Keyword Results'!$R:$R)</f>
        <v>0</v>
      </c>
      <c r="Q116" s="3">
        <f>SUMIF('Keyword Results'!$A:$A,"Somali_people",'Keyword Results'!$S:$S)</f>
        <v>0</v>
      </c>
      <c r="R116" s="3">
        <f>SUMIF('Keyword Results'!$A:$A,"Somali_people",'Keyword Results'!$T:$T)</f>
        <v>0</v>
      </c>
      <c r="S116" s="3">
        <f>SUMIF('Keyword Results'!$A:$A,"Somali_people",'Keyword Results'!$U:$U)</f>
        <v>0</v>
      </c>
      <c r="T116" s="3">
        <f>SUMIF('Keyword Results'!$A:$A,"Somali_people",'Keyword Results'!$V:$V)</f>
        <v>0</v>
      </c>
      <c r="U116" s="3">
        <f>SUMIF('Keyword Results'!$A:$A,"Somali_people",'Keyword Results'!$W:$W)</f>
        <v>0</v>
      </c>
      <c r="V116" s="3">
        <f>SUMIF('Keyword Results'!$A:$A,"Somali_people",'Keyword Results'!$X:$X)</f>
        <v>0</v>
      </c>
      <c r="W116" s="3">
        <f t="shared" si="1"/>
        <v>0</v>
      </c>
    </row>
    <row r="117" spans="1:23" x14ac:dyDescent="0.2">
      <c r="A117" s="2" t="s">
        <v>144</v>
      </c>
      <c r="B117" s="3">
        <f>SUMIF('Keyword Results'!$A:$A,"Sotho_people",'Keyword Results'!$D:$D)</f>
        <v>10</v>
      </c>
      <c r="C117" s="3">
        <f>SUMIF('Keyword Results'!$A:$A,"Sotho_people",'Keyword Results'!$E:$E)</f>
        <v>0</v>
      </c>
      <c r="D117" s="3">
        <f>SUMIF('Keyword Results'!$A:$A,"Sotho_people",'Keyword Results'!$F:$F)</f>
        <v>0</v>
      </c>
      <c r="E117" s="3">
        <f>SUMIF('Keyword Results'!$A:$A,"Sotho_people",'Keyword Results'!$G:$G)</f>
        <v>0</v>
      </c>
      <c r="F117" s="3">
        <f>SUMIF('Keyword Results'!$A:$A,"Sotho_people",'Keyword Results'!$H:$H)</f>
        <v>0</v>
      </c>
      <c r="G117" s="3">
        <f>SUMIF('Keyword Results'!$A:$A,"Sotho_people",'Keyword Results'!$I:$I)</f>
        <v>0</v>
      </c>
      <c r="H117" s="3">
        <f>SUMIF('Keyword Results'!$A:$A,"Sotho_people",'Keyword Results'!$J:$J)</f>
        <v>0</v>
      </c>
      <c r="I117" s="3">
        <f>SUMIF('Keyword Results'!$A:$A,"Sotho_people",'Keyword Results'!$K:$K)</f>
        <v>0</v>
      </c>
      <c r="J117" s="3">
        <f>SUMIF('Keyword Results'!$A:$A,"Sotho_people",'Keyword Results'!$L:$L)</f>
        <v>0</v>
      </c>
      <c r="K117" s="3">
        <f>SUMIF('Keyword Results'!$A:$A,"Sotho_people",'Keyword Results'!$M:$M)</f>
        <v>0</v>
      </c>
      <c r="L117" s="3">
        <f>SUMIF('Keyword Results'!$A:$A,"Sotho_people",'Keyword Results'!$N:$N)</f>
        <v>0</v>
      </c>
      <c r="M117" s="3">
        <f>SUMIF('Keyword Results'!$A:$A,"Sotho_people",'Keyword Results'!$O:$O)</f>
        <v>0</v>
      </c>
      <c r="N117" s="3">
        <f>SUMIF('Keyword Results'!$A:$A,"Sotho_people",'Keyword Results'!$P:$P)</f>
        <v>0</v>
      </c>
      <c r="O117" s="3">
        <f>SUMIF('Keyword Results'!$A:$A,"Sotho_people",'Keyword Results'!$Q:$Q)</f>
        <v>0</v>
      </c>
      <c r="P117" s="3">
        <f>SUMIF('Keyword Results'!$A:$A,"Sotho_people",'Keyword Results'!$R:$R)</f>
        <v>0</v>
      </c>
      <c r="Q117" s="3">
        <f>SUMIF('Keyword Results'!$A:$A,"Sotho_people",'Keyword Results'!$S:$S)</f>
        <v>0</v>
      </c>
      <c r="R117" s="3">
        <f>SUMIF('Keyword Results'!$A:$A,"Sotho_people",'Keyword Results'!$T:$T)</f>
        <v>0</v>
      </c>
      <c r="S117" s="3">
        <f>SUMIF('Keyword Results'!$A:$A,"Sotho_people",'Keyword Results'!$U:$U)</f>
        <v>0</v>
      </c>
      <c r="T117" s="3">
        <f>SUMIF('Keyword Results'!$A:$A,"Sotho_people",'Keyword Results'!$V:$V)</f>
        <v>0</v>
      </c>
      <c r="U117" s="3">
        <f>SUMIF('Keyword Results'!$A:$A,"Sotho_people",'Keyword Results'!$W:$W)</f>
        <v>0</v>
      </c>
      <c r="V117" s="3">
        <f>SUMIF('Keyword Results'!$A:$A,"Sotho_people",'Keyword Results'!$X:$X)</f>
        <v>0</v>
      </c>
      <c r="W117" s="3">
        <f t="shared" si="1"/>
        <v>0</v>
      </c>
    </row>
    <row r="118" spans="1:23" x14ac:dyDescent="0.2">
      <c r="A118" s="2" t="s">
        <v>145</v>
      </c>
      <c r="B118" s="3">
        <f>SUMIF('Keyword Results'!$A:$A,"South_Africans",'Keyword Results'!$D:$D)</f>
        <v>7</v>
      </c>
      <c r="C118" s="3">
        <f>SUMIF('Keyword Results'!$A:$A,"South_Africans",'Keyword Results'!$E:$E)</f>
        <v>0</v>
      </c>
      <c r="D118" s="3">
        <f>SUMIF('Keyword Results'!$A:$A,"South_Africans",'Keyword Results'!$F:$F)</f>
        <v>0</v>
      </c>
      <c r="E118" s="3">
        <f>SUMIF('Keyword Results'!$A:$A,"South_Africans",'Keyword Results'!$G:$G)</f>
        <v>0</v>
      </c>
      <c r="F118" s="3">
        <f>SUMIF('Keyword Results'!$A:$A,"South_Africans",'Keyword Results'!$H:$H)</f>
        <v>0</v>
      </c>
      <c r="G118" s="3">
        <f>SUMIF('Keyword Results'!$A:$A,"South_Africans",'Keyword Results'!$I:$I)</f>
        <v>0</v>
      </c>
      <c r="H118" s="3">
        <f>SUMIF('Keyword Results'!$A:$A,"South_Africans",'Keyword Results'!$J:$J)</f>
        <v>0</v>
      </c>
      <c r="I118" s="3">
        <f>SUMIF('Keyword Results'!$A:$A,"South_Africans",'Keyword Results'!$K:$K)</f>
        <v>0</v>
      </c>
      <c r="J118" s="3">
        <f>SUMIF('Keyword Results'!$A:$A,"South_Africans",'Keyword Results'!$L:$L)</f>
        <v>0</v>
      </c>
      <c r="K118" s="3">
        <f>SUMIF('Keyword Results'!$A:$A,"South_Africans",'Keyword Results'!$M:$M)</f>
        <v>0</v>
      </c>
      <c r="L118" s="3">
        <f>SUMIF('Keyword Results'!$A:$A,"South_Africans",'Keyword Results'!$N:$N)</f>
        <v>0</v>
      </c>
      <c r="M118" s="3">
        <f>SUMIF('Keyword Results'!$A:$A,"South_Africans",'Keyword Results'!$O:$O)</f>
        <v>0</v>
      </c>
      <c r="N118" s="3">
        <f>SUMIF('Keyword Results'!$A:$A,"South_Africans",'Keyword Results'!$P:$P)</f>
        <v>0</v>
      </c>
      <c r="O118" s="3">
        <f>SUMIF('Keyword Results'!$A:$A,"South_Africans",'Keyword Results'!$Q:$Q)</f>
        <v>0</v>
      </c>
      <c r="P118" s="3">
        <f>SUMIF('Keyword Results'!$A:$A,"South_Africans",'Keyword Results'!$R:$R)</f>
        <v>0</v>
      </c>
      <c r="Q118" s="3">
        <f>SUMIF('Keyword Results'!$A:$A,"South_Africans",'Keyword Results'!$S:$S)</f>
        <v>0</v>
      </c>
      <c r="R118" s="3">
        <f>SUMIF('Keyword Results'!$A:$A,"South_Africans",'Keyword Results'!$T:$T)</f>
        <v>0</v>
      </c>
      <c r="S118" s="3">
        <f>SUMIF('Keyword Results'!$A:$A,"South_Africans",'Keyword Results'!$U:$U)</f>
        <v>0</v>
      </c>
      <c r="T118" s="3">
        <f>SUMIF('Keyword Results'!$A:$A,"South_Africans",'Keyword Results'!$V:$V)</f>
        <v>0</v>
      </c>
      <c r="U118" s="3">
        <f>SUMIF('Keyword Results'!$A:$A,"South_Africans",'Keyword Results'!$W:$W)</f>
        <v>0</v>
      </c>
      <c r="V118" s="3">
        <f>SUMIF('Keyword Results'!$A:$A,"South_Africans",'Keyword Results'!$X:$X)</f>
        <v>0</v>
      </c>
      <c r="W118" s="3">
        <f t="shared" si="1"/>
        <v>0</v>
      </c>
    </row>
    <row r="119" spans="1:23" x14ac:dyDescent="0.2">
      <c r="A119" s="2" t="s">
        <v>146</v>
      </c>
      <c r="B119" s="3">
        <f>SUMIF('Keyword Results'!$A:$A,"Spaniards",'Keyword Results'!$D:$D)</f>
        <v>8</v>
      </c>
      <c r="C119" s="3">
        <f>SUMIF('Keyword Results'!$A:$A,"Spaniards",'Keyword Results'!$E:$E)</f>
        <v>2</v>
      </c>
      <c r="D119" s="3">
        <f>SUMIF('Keyword Results'!$A:$A,"Spaniards",'Keyword Results'!$F:$F)</f>
        <v>0</v>
      </c>
      <c r="E119" s="3">
        <f>SUMIF('Keyword Results'!$A:$A,"Spaniards",'Keyword Results'!$G:$G)</f>
        <v>0</v>
      </c>
      <c r="F119" s="3">
        <f>SUMIF('Keyword Results'!$A:$A,"Spaniards",'Keyword Results'!$H:$H)</f>
        <v>0</v>
      </c>
      <c r="G119" s="3">
        <f>SUMIF('Keyword Results'!$A:$A,"Spaniards",'Keyword Results'!$I:$I)</f>
        <v>0</v>
      </c>
      <c r="H119" s="3">
        <f>SUMIF('Keyword Results'!$A:$A,"Spaniards",'Keyword Results'!$J:$J)</f>
        <v>0</v>
      </c>
      <c r="I119" s="3">
        <f>SUMIF('Keyword Results'!$A:$A,"Spaniards",'Keyword Results'!$K:$K)</f>
        <v>0</v>
      </c>
      <c r="J119" s="3">
        <f>SUMIF('Keyword Results'!$A:$A,"Spaniards",'Keyword Results'!$L:$L)</f>
        <v>0</v>
      </c>
      <c r="K119" s="3">
        <f>SUMIF('Keyword Results'!$A:$A,"Spaniards",'Keyword Results'!$M:$M)</f>
        <v>0</v>
      </c>
      <c r="L119" s="3">
        <f>SUMIF('Keyword Results'!$A:$A,"Spaniards",'Keyword Results'!$N:$N)</f>
        <v>0</v>
      </c>
      <c r="M119" s="3">
        <f>SUMIF('Keyword Results'!$A:$A,"Spaniards",'Keyword Results'!$O:$O)</f>
        <v>0</v>
      </c>
      <c r="N119" s="3">
        <f>SUMIF('Keyword Results'!$A:$A,"Spaniards",'Keyword Results'!$P:$P)</f>
        <v>0</v>
      </c>
      <c r="O119" s="3">
        <f>SUMIF('Keyword Results'!$A:$A,"Spaniards",'Keyword Results'!$Q:$Q)</f>
        <v>0</v>
      </c>
      <c r="P119" s="3">
        <f>SUMIF('Keyword Results'!$A:$A,"Spaniards",'Keyword Results'!$R:$R)</f>
        <v>0</v>
      </c>
      <c r="Q119" s="3">
        <f>SUMIF('Keyword Results'!$A:$A,"Spaniards",'Keyword Results'!$S:$S)</f>
        <v>0</v>
      </c>
      <c r="R119" s="3">
        <f>SUMIF('Keyword Results'!$A:$A,"Spaniards",'Keyword Results'!$T:$T)</f>
        <v>0</v>
      </c>
      <c r="S119" s="3">
        <f>SUMIF('Keyword Results'!$A:$A,"Spaniards",'Keyword Results'!$U:$U)</f>
        <v>0</v>
      </c>
      <c r="T119" s="3">
        <f>SUMIF('Keyword Results'!$A:$A,"Spaniards",'Keyword Results'!$V:$V)</f>
        <v>0</v>
      </c>
      <c r="U119" s="3">
        <f>SUMIF('Keyword Results'!$A:$A,"Spaniards",'Keyword Results'!$W:$W)</f>
        <v>0</v>
      </c>
      <c r="V119" s="3">
        <f>SUMIF('Keyword Results'!$A:$A,"Spaniards",'Keyword Results'!$X:$X)</f>
        <v>0</v>
      </c>
      <c r="W119" s="3">
        <f t="shared" si="1"/>
        <v>2</v>
      </c>
    </row>
    <row r="120" spans="1:23" x14ac:dyDescent="0.2">
      <c r="A120" s="2" t="s">
        <v>147</v>
      </c>
      <c r="B120" s="3">
        <f>SUMIF('Keyword Results'!$A:$A,"Surinamese_people",'Keyword Results'!$D:$D)</f>
        <v>9</v>
      </c>
      <c r="C120" s="3">
        <f>SUMIF('Keyword Results'!$A:$A,"Surinamese_people",'Keyword Results'!$E:$E)</f>
        <v>0</v>
      </c>
      <c r="D120" s="3">
        <f>SUMIF('Keyword Results'!$A:$A,"Surinamese_people",'Keyword Results'!$F:$F)</f>
        <v>0</v>
      </c>
      <c r="E120" s="3">
        <f>SUMIF('Keyword Results'!$A:$A,"Surinamese_people",'Keyword Results'!$G:$G)</f>
        <v>0</v>
      </c>
      <c r="F120" s="3">
        <f>SUMIF('Keyword Results'!$A:$A,"Surinamese_people",'Keyword Results'!$H:$H)</f>
        <v>0</v>
      </c>
      <c r="G120" s="3">
        <f>SUMIF('Keyword Results'!$A:$A,"Surinamese_people",'Keyword Results'!$I:$I)</f>
        <v>0</v>
      </c>
      <c r="H120" s="3">
        <f>SUMIF('Keyword Results'!$A:$A,"Surinamese_people",'Keyword Results'!$J:$J)</f>
        <v>0</v>
      </c>
      <c r="I120" s="3">
        <f>SUMIF('Keyword Results'!$A:$A,"Surinamese_people",'Keyword Results'!$K:$K)</f>
        <v>0</v>
      </c>
      <c r="J120" s="3">
        <f>SUMIF('Keyword Results'!$A:$A,"Surinamese_people",'Keyword Results'!$L:$L)</f>
        <v>0</v>
      </c>
      <c r="K120" s="3">
        <f>SUMIF('Keyword Results'!$A:$A,"Surinamese_people",'Keyword Results'!$M:$M)</f>
        <v>0</v>
      </c>
      <c r="L120" s="3">
        <f>SUMIF('Keyword Results'!$A:$A,"Surinamese_people",'Keyword Results'!$N:$N)</f>
        <v>0</v>
      </c>
      <c r="M120" s="3">
        <f>SUMIF('Keyword Results'!$A:$A,"Surinamese_people",'Keyword Results'!$O:$O)</f>
        <v>0</v>
      </c>
      <c r="N120" s="3">
        <f>SUMIF('Keyword Results'!$A:$A,"Surinamese_people",'Keyword Results'!$P:$P)</f>
        <v>0</v>
      </c>
      <c r="O120" s="3">
        <f>SUMIF('Keyword Results'!$A:$A,"Surinamese_people",'Keyword Results'!$Q:$Q)</f>
        <v>0</v>
      </c>
      <c r="P120" s="3">
        <f>SUMIF('Keyword Results'!$A:$A,"Surinamese_people",'Keyword Results'!$R:$R)</f>
        <v>0</v>
      </c>
      <c r="Q120" s="3">
        <f>SUMIF('Keyword Results'!$A:$A,"Surinamese_people",'Keyword Results'!$S:$S)</f>
        <v>0</v>
      </c>
      <c r="R120" s="3">
        <f>SUMIF('Keyword Results'!$A:$A,"Surinamese_people",'Keyword Results'!$T:$T)</f>
        <v>0</v>
      </c>
      <c r="S120" s="3">
        <f>SUMIF('Keyword Results'!$A:$A,"Surinamese_people",'Keyword Results'!$U:$U)</f>
        <v>0</v>
      </c>
      <c r="T120" s="3">
        <f>SUMIF('Keyword Results'!$A:$A,"Surinamese_people",'Keyword Results'!$V:$V)</f>
        <v>0</v>
      </c>
      <c r="U120" s="3">
        <f>SUMIF('Keyword Results'!$A:$A,"Surinamese_people",'Keyword Results'!$W:$W)</f>
        <v>0</v>
      </c>
      <c r="V120" s="3">
        <f>SUMIF('Keyword Results'!$A:$A,"Surinamese_people",'Keyword Results'!$X:$X)</f>
        <v>0</v>
      </c>
      <c r="W120" s="3">
        <f t="shared" si="1"/>
        <v>0</v>
      </c>
    </row>
    <row r="121" spans="1:23" x14ac:dyDescent="0.2">
      <c r="A121" s="2" t="s">
        <v>148</v>
      </c>
      <c r="B121" s="3">
        <f>SUMIF('Keyword Results'!$A:$A,"Swazi_people",'Keyword Results'!$D:$D)</f>
        <v>7</v>
      </c>
      <c r="C121" s="3">
        <f>SUMIF('Keyword Results'!$A:$A,"Swazi_people",'Keyword Results'!$E:$E)</f>
        <v>0</v>
      </c>
      <c r="D121" s="3">
        <f>SUMIF('Keyword Results'!$A:$A,"Swazi_people",'Keyword Results'!$F:$F)</f>
        <v>0</v>
      </c>
      <c r="E121" s="3">
        <f>SUMIF('Keyword Results'!$A:$A,"Swazi_people",'Keyword Results'!$G:$G)</f>
        <v>0</v>
      </c>
      <c r="F121" s="3">
        <f>SUMIF('Keyword Results'!$A:$A,"Swazi_people",'Keyword Results'!$H:$H)</f>
        <v>0</v>
      </c>
      <c r="G121" s="3">
        <f>SUMIF('Keyword Results'!$A:$A,"Swazi_people",'Keyword Results'!$I:$I)</f>
        <v>0</v>
      </c>
      <c r="H121" s="3">
        <f>SUMIF('Keyword Results'!$A:$A,"Swazi_people",'Keyword Results'!$J:$J)</f>
        <v>0</v>
      </c>
      <c r="I121" s="3">
        <f>SUMIF('Keyword Results'!$A:$A,"Swazi_people",'Keyword Results'!$K:$K)</f>
        <v>0</v>
      </c>
      <c r="J121" s="3">
        <f>SUMIF('Keyword Results'!$A:$A,"Swazi_people",'Keyword Results'!$L:$L)</f>
        <v>0</v>
      </c>
      <c r="K121" s="3">
        <f>SUMIF('Keyword Results'!$A:$A,"Swazi_people",'Keyword Results'!$M:$M)</f>
        <v>0</v>
      </c>
      <c r="L121" s="3">
        <f>SUMIF('Keyword Results'!$A:$A,"Swazi_people",'Keyword Results'!$N:$N)</f>
        <v>0</v>
      </c>
      <c r="M121" s="3">
        <f>SUMIF('Keyword Results'!$A:$A,"Swazi_people",'Keyword Results'!$O:$O)</f>
        <v>0</v>
      </c>
      <c r="N121" s="3">
        <f>SUMIF('Keyword Results'!$A:$A,"Swazi_people",'Keyword Results'!$P:$P)</f>
        <v>0</v>
      </c>
      <c r="O121" s="3">
        <f>SUMIF('Keyword Results'!$A:$A,"Swazi_people",'Keyword Results'!$Q:$Q)</f>
        <v>0</v>
      </c>
      <c r="P121" s="3">
        <f>SUMIF('Keyword Results'!$A:$A,"Swazi_people",'Keyword Results'!$R:$R)</f>
        <v>0</v>
      </c>
      <c r="Q121" s="3">
        <f>SUMIF('Keyword Results'!$A:$A,"Swazi_people",'Keyword Results'!$S:$S)</f>
        <v>0</v>
      </c>
      <c r="R121" s="3">
        <f>SUMIF('Keyword Results'!$A:$A,"Swazi_people",'Keyword Results'!$T:$T)</f>
        <v>0</v>
      </c>
      <c r="S121" s="3">
        <f>SUMIF('Keyword Results'!$A:$A,"Swazi_people",'Keyword Results'!$U:$U)</f>
        <v>0</v>
      </c>
      <c r="T121" s="3">
        <f>SUMIF('Keyword Results'!$A:$A,"Swazi_people",'Keyword Results'!$V:$V)</f>
        <v>0</v>
      </c>
      <c r="U121" s="3">
        <f>SUMIF('Keyword Results'!$A:$A,"Swazi_people",'Keyword Results'!$W:$W)</f>
        <v>0</v>
      </c>
      <c r="V121" s="3">
        <f>SUMIF('Keyword Results'!$A:$A,"Swazi_people",'Keyword Results'!$X:$X)</f>
        <v>0</v>
      </c>
      <c r="W121" s="3">
        <f t="shared" si="1"/>
        <v>0</v>
      </c>
    </row>
    <row r="122" spans="1:23" x14ac:dyDescent="0.2">
      <c r="A122" s="2" t="s">
        <v>149</v>
      </c>
      <c r="B122" s="3">
        <f>SUMIF('Keyword Results'!$A:$A,"Swedes",'Keyword Results'!$D:$D)</f>
        <v>9</v>
      </c>
      <c r="C122" s="3">
        <f>SUMIF('Keyword Results'!$A:$A,"Swedes",'Keyword Results'!$E:$E)</f>
        <v>0</v>
      </c>
      <c r="D122" s="3">
        <f>SUMIF('Keyword Results'!$A:$A,"Swedes",'Keyword Results'!$F:$F)</f>
        <v>0</v>
      </c>
      <c r="E122" s="3">
        <f>SUMIF('Keyword Results'!$A:$A,"Swedes",'Keyword Results'!$G:$G)</f>
        <v>0</v>
      </c>
      <c r="F122" s="3">
        <f>SUMIF('Keyword Results'!$A:$A,"Swedes",'Keyword Results'!$H:$H)</f>
        <v>0</v>
      </c>
      <c r="G122" s="3">
        <f>SUMIF('Keyword Results'!$A:$A,"Swedes",'Keyword Results'!$I:$I)</f>
        <v>0</v>
      </c>
      <c r="H122" s="3">
        <f>SUMIF('Keyword Results'!$A:$A,"Swedes",'Keyword Results'!$J:$J)</f>
        <v>0</v>
      </c>
      <c r="I122" s="3">
        <f>SUMIF('Keyword Results'!$A:$A,"Swedes",'Keyword Results'!$K:$K)</f>
        <v>0</v>
      </c>
      <c r="J122" s="3">
        <f>SUMIF('Keyword Results'!$A:$A,"Swedes",'Keyword Results'!$L:$L)</f>
        <v>0</v>
      </c>
      <c r="K122" s="3">
        <f>SUMIF('Keyword Results'!$A:$A,"Swedes",'Keyword Results'!$M:$M)</f>
        <v>0</v>
      </c>
      <c r="L122" s="3">
        <f>SUMIF('Keyword Results'!$A:$A,"Swedes",'Keyword Results'!$N:$N)</f>
        <v>0</v>
      </c>
      <c r="M122" s="3">
        <f>SUMIF('Keyword Results'!$A:$A,"Swedes",'Keyword Results'!$O:$O)</f>
        <v>0</v>
      </c>
      <c r="N122" s="3">
        <f>SUMIF('Keyword Results'!$A:$A,"Swedes",'Keyword Results'!$P:$P)</f>
        <v>0</v>
      </c>
      <c r="O122" s="3">
        <f>SUMIF('Keyword Results'!$A:$A,"Swedes",'Keyword Results'!$Q:$Q)</f>
        <v>0</v>
      </c>
      <c r="P122" s="3">
        <f>SUMIF('Keyword Results'!$A:$A,"Swedes",'Keyword Results'!$R:$R)</f>
        <v>0</v>
      </c>
      <c r="Q122" s="3">
        <f>SUMIF('Keyword Results'!$A:$A,"Swedes",'Keyword Results'!$S:$S)</f>
        <v>0</v>
      </c>
      <c r="R122" s="3">
        <f>SUMIF('Keyword Results'!$A:$A,"Swedes",'Keyword Results'!$T:$T)</f>
        <v>0</v>
      </c>
      <c r="S122" s="3">
        <f>SUMIF('Keyword Results'!$A:$A,"Swedes",'Keyword Results'!$U:$U)</f>
        <v>0</v>
      </c>
      <c r="T122" s="3">
        <f>SUMIF('Keyword Results'!$A:$A,"Swedes",'Keyword Results'!$V:$V)</f>
        <v>0</v>
      </c>
      <c r="U122" s="3">
        <f>SUMIF('Keyword Results'!$A:$A,"Swedes",'Keyword Results'!$W:$W)</f>
        <v>0</v>
      </c>
      <c r="V122" s="3">
        <f>SUMIF('Keyword Results'!$A:$A,"Swedes",'Keyword Results'!$X:$X)</f>
        <v>0</v>
      </c>
      <c r="W122" s="3">
        <f t="shared" si="1"/>
        <v>0</v>
      </c>
    </row>
    <row r="123" spans="1:23" x14ac:dyDescent="0.2">
      <c r="A123" s="2" t="s">
        <v>150</v>
      </c>
      <c r="B123" s="3">
        <f>SUMIF('Keyword Results'!$A:$A,"Swiss_people",'Keyword Results'!$D:$D)</f>
        <v>7</v>
      </c>
      <c r="C123" s="3">
        <f>SUMIF('Keyword Results'!$A:$A,"Swiss_people",'Keyword Results'!$E:$E)</f>
        <v>0</v>
      </c>
      <c r="D123" s="3">
        <f>SUMIF('Keyword Results'!$A:$A,"Swiss_people",'Keyword Results'!$F:$F)</f>
        <v>0</v>
      </c>
      <c r="E123" s="3">
        <f>SUMIF('Keyword Results'!$A:$A,"Swiss_people",'Keyword Results'!$G:$G)</f>
        <v>0</v>
      </c>
      <c r="F123" s="3">
        <f>SUMIF('Keyword Results'!$A:$A,"Swiss_people",'Keyword Results'!$H:$H)</f>
        <v>0</v>
      </c>
      <c r="G123" s="3">
        <f>SUMIF('Keyword Results'!$A:$A,"Swiss_people",'Keyword Results'!$I:$I)</f>
        <v>0</v>
      </c>
      <c r="H123" s="3">
        <f>SUMIF('Keyword Results'!$A:$A,"Swiss_people",'Keyword Results'!$J:$J)</f>
        <v>0</v>
      </c>
      <c r="I123" s="3">
        <f>SUMIF('Keyword Results'!$A:$A,"Swiss_people",'Keyword Results'!$K:$K)</f>
        <v>0</v>
      </c>
      <c r="J123" s="3">
        <f>SUMIF('Keyword Results'!$A:$A,"Swiss_people",'Keyword Results'!$L:$L)</f>
        <v>0</v>
      </c>
      <c r="K123" s="3">
        <f>SUMIF('Keyword Results'!$A:$A,"Swiss_people",'Keyword Results'!$M:$M)</f>
        <v>0</v>
      </c>
      <c r="L123" s="3">
        <f>SUMIF('Keyword Results'!$A:$A,"Swiss_people",'Keyword Results'!$N:$N)</f>
        <v>0</v>
      </c>
      <c r="M123" s="3">
        <f>SUMIF('Keyword Results'!$A:$A,"Swiss_people",'Keyword Results'!$O:$O)</f>
        <v>0</v>
      </c>
      <c r="N123" s="3">
        <f>SUMIF('Keyword Results'!$A:$A,"Swiss_people",'Keyword Results'!$P:$P)</f>
        <v>0</v>
      </c>
      <c r="O123" s="3">
        <f>SUMIF('Keyword Results'!$A:$A,"Swiss_people",'Keyword Results'!$Q:$Q)</f>
        <v>0</v>
      </c>
      <c r="P123" s="3">
        <f>SUMIF('Keyword Results'!$A:$A,"Swiss_people",'Keyword Results'!$R:$R)</f>
        <v>0</v>
      </c>
      <c r="Q123" s="3">
        <f>SUMIF('Keyword Results'!$A:$A,"Swiss_people",'Keyword Results'!$S:$S)</f>
        <v>0</v>
      </c>
      <c r="R123" s="3">
        <f>SUMIF('Keyword Results'!$A:$A,"Swiss_people",'Keyword Results'!$T:$T)</f>
        <v>0</v>
      </c>
      <c r="S123" s="3">
        <f>SUMIF('Keyword Results'!$A:$A,"Swiss_people",'Keyword Results'!$U:$U)</f>
        <v>0</v>
      </c>
      <c r="T123" s="3">
        <f>SUMIF('Keyword Results'!$A:$A,"Swiss_people",'Keyword Results'!$V:$V)</f>
        <v>0</v>
      </c>
      <c r="U123" s="3">
        <f>SUMIF('Keyword Results'!$A:$A,"Swiss_people",'Keyword Results'!$W:$W)</f>
        <v>0</v>
      </c>
      <c r="V123" s="3">
        <f>SUMIF('Keyword Results'!$A:$A,"Swiss_people",'Keyword Results'!$X:$X)</f>
        <v>0</v>
      </c>
      <c r="W123" s="3">
        <f t="shared" si="1"/>
        <v>0</v>
      </c>
    </row>
    <row r="124" spans="1:23" x14ac:dyDescent="0.2">
      <c r="A124" s="2" t="s">
        <v>151</v>
      </c>
      <c r="B124" s="3">
        <f>SUMIF('Keyword Results'!$A:$A,"Syrians",'Keyword Results'!$D:$D)</f>
        <v>13</v>
      </c>
      <c r="C124" s="3">
        <f>SUMIF('Keyword Results'!$A:$A,"Syrians",'Keyword Results'!$E:$E)</f>
        <v>2</v>
      </c>
      <c r="D124" s="3">
        <f>SUMIF('Keyword Results'!$A:$A,"Syrians",'Keyword Results'!$F:$F)</f>
        <v>0</v>
      </c>
      <c r="E124" s="3">
        <f>SUMIF('Keyword Results'!$A:$A,"Syrians",'Keyword Results'!$G:$G)</f>
        <v>0</v>
      </c>
      <c r="F124" s="3">
        <f>SUMIF('Keyword Results'!$A:$A,"Syrians",'Keyword Results'!$H:$H)</f>
        <v>0</v>
      </c>
      <c r="G124" s="3">
        <f>SUMIF('Keyword Results'!$A:$A,"Syrians",'Keyword Results'!$I:$I)</f>
        <v>0</v>
      </c>
      <c r="H124" s="3">
        <f>SUMIF('Keyword Results'!$A:$A,"Syrians",'Keyword Results'!$J:$J)</f>
        <v>0</v>
      </c>
      <c r="I124" s="3">
        <f>SUMIF('Keyword Results'!$A:$A,"Syrians",'Keyword Results'!$K:$K)</f>
        <v>0</v>
      </c>
      <c r="J124" s="3">
        <f>SUMIF('Keyword Results'!$A:$A,"Syrians",'Keyword Results'!$L:$L)</f>
        <v>0</v>
      </c>
      <c r="K124" s="3">
        <f>SUMIF('Keyword Results'!$A:$A,"Syrians",'Keyword Results'!$M:$M)</f>
        <v>0</v>
      </c>
      <c r="L124" s="3">
        <f>SUMIF('Keyword Results'!$A:$A,"Syrians",'Keyword Results'!$N:$N)</f>
        <v>0</v>
      </c>
      <c r="M124" s="3">
        <f>SUMIF('Keyword Results'!$A:$A,"Syrians",'Keyword Results'!$O:$O)</f>
        <v>0</v>
      </c>
      <c r="N124" s="3">
        <f>SUMIF('Keyword Results'!$A:$A,"Syrians",'Keyword Results'!$P:$P)</f>
        <v>0</v>
      </c>
      <c r="O124" s="3">
        <f>SUMIF('Keyword Results'!$A:$A,"Syrians",'Keyword Results'!$Q:$Q)</f>
        <v>0</v>
      </c>
      <c r="P124" s="3">
        <f>SUMIF('Keyword Results'!$A:$A,"Syrians",'Keyword Results'!$R:$R)</f>
        <v>0</v>
      </c>
      <c r="Q124" s="3">
        <f>SUMIF('Keyword Results'!$A:$A,"Syrians",'Keyword Results'!$S:$S)</f>
        <v>0</v>
      </c>
      <c r="R124" s="3">
        <f>SUMIF('Keyword Results'!$A:$A,"Syrians",'Keyword Results'!$T:$T)</f>
        <v>0</v>
      </c>
      <c r="S124" s="3">
        <f>SUMIF('Keyword Results'!$A:$A,"Syrians",'Keyword Results'!$U:$U)</f>
        <v>0</v>
      </c>
      <c r="T124" s="3">
        <f>SUMIF('Keyword Results'!$A:$A,"Syrians",'Keyword Results'!$V:$V)</f>
        <v>0</v>
      </c>
      <c r="U124" s="3">
        <f>SUMIF('Keyword Results'!$A:$A,"Syrians",'Keyword Results'!$W:$W)</f>
        <v>0</v>
      </c>
      <c r="V124" s="3">
        <f>SUMIF('Keyword Results'!$A:$A,"Syrians",'Keyword Results'!$X:$X)</f>
        <v>0</v>
      </c>
      <c r="W124" s="3">
        <f t="shared" si="1"/>
        <v>2</v>
      </c>
    </row>
    <row r="125" spans="1:23" x14ac:dyDescent="0.2">
      <c r="A125" s="2" t="s">
        <v>152</v>
      </c>
      <c r="B125" s="3">
        <f>SUMIF('Keyword Results'!$A:$A,"Taiwanese_people",'Keyword Results'!$D:$D)</f>
        <v>11</v>
      </c>
      <c r="C125" s="3">
        <f>SUMIF('Keyword Results'!$A:$A,"Taiwanese_people",'Keyword Results'!$E:$E)</f>
        <v>1</v>
      </c>
      <c r="D125" s="3">
        <f>SUMIF('Keyword Results'!$A:$A,"Taiwanese_people",'Keyword Results'!$F:$F)</f>
        <v>0</v>
      </c>
      <c r="E125" s="3">
        <f>SUMIF('Keyword Results'!$A:$A,"Taiwanese_people",'Keyword Results'!$G:$G)</f>
        <v>0</v>
      </c>
      <c r="F125" s="3">
        <f>SUMIF('Keyword Results'!$A:$A,"Taiwanese_people",'Keyword Results'!$H:$H)</f>
        <v>0</v>
      </c>
      <c r="G125" s="3">
        <f>SUMIF('Keyword Results'!$A:$A,"Taiwanese_people",'Keyword Results'!$I:$I)</f>
        <v>0</v>
      </c>
      <c r="H125" s="3">
        <f>SUMIF('Keyword Results'!$A:$A,"Taiwanese_people",'Keyword Results'!$J:$J)</f>
        <v>0</v>
      </c>
      <c r="I125" s="3">
        <f>SUMIF('Keyword Results'!$A:$A,"Taiwanese_people",'Keyword Results'!$K:$K)</f>
        <v>0</v>
      </c>
      <c r="J125" s="3">
        <f>SUMIF('Keyword Results'!$A:$A,"Taiwanese_people",'Keyword Results'!$L:$L)</f>
        <v>0</v>
      </c>
      <c r="K125" s="3">
        <f>SUMIF('Keyword Results'!$A:$A,"Taiwanese_people",'Keyword Results'!$M:$M)</f>
        <v>0</v>
      </c>
      <c r="L125" s="3">
        <f>SUMIF('Keyword Results'!$A:$A,"Taiwanese_people",'Keyword Results'!$N:$N)</f>
        <v>0</v>
      </c>
      <c r="M125" s="3">
        <f>SUMIF('Keyword Results'!$A:$A,"Taiwanese_people",'Keyword Results'!$O:$O)</f>
        <v>0</v>
      </c>
      <c r="N125" s="3">
        <f>SUMIF('Keyword Results'!$A:$A,"Taiwanese_people",'Keyword Results'!$P:$P)</f>
        <v>0</v>
      </c>
      <c r="O125" s="3">
        <f>SUMIF('Keyword Results'!$A:$A,"Taiwanese_people",'Keyword Results'!$Q:$Q)</f>
        <v>0</v>
      </c>
      <c r="P125" s="3">
        <f>SUMIF('Keyword Results'!$A:$A,"Taiwanese_people",'Keyword Results'!$R:$R)</f>
        <v>0</v>
      </c>
      <c r="Q125" s="3">
        <f>SUMIF('Keyword Results'!$A:$A,"Taiwanese_people",'Keyword Results'!$S:$S)</f>
        <v>0</v>
      </c>
      <c r="R125" s="3">
        <f>SUMIF('Keyword Results'!$A:$A,"Taiwanese_people",'Keyword Results'!$T:$T)</f>
        <v>0</v>
      </c>
      <c r="S125" s="3">
        <f>SUMIF('Keyword Results'!$A:$A,"Taiwanese_people",'Keyword Results'!$U:$U)</f>
        <v>0</v>
      </c>
      <c r="T125" s="3">
        <f>SUMIF('Keyword Results'!$A:$A,"Taiwanese_people",'Keyword Results'!$V:$V)</f>
        <v>0</v>
      </c>
      <c r="U125" s="3">
        <f>SUMIF('Keyword Results'!$A:$A,"Taiwanese_people",'Keyword Results'!$W:$W)</f>
        <v>0</v>
      </c>
      <c r="V125" s="3">
        <f>SUMIF('Keyword Results'!$A:$A,"Taiwanese_people",'Keyword Results'!$X:$X)</f>
        <v>0</v>
      </c>
      <c r="W125" s="3">
        <f t="shared" si="1"/>
        <v>1</v>
      </c>
    </row>
    <row r="126" spans="1:23" x14ac:dyDescent="0.2">
      <c r="A126" s="2" t="s">
        <v>153</v>
      </c>
      <c r="B126" s="3">
        <f>SUMIF('Keyword Results'!$A:$A,"Tajiks",'Keyword Results'!$D:$D)</f>
        <v>9</v>
      </c>
      <c r="C126" s="3">
        <f>SUMIF('Keyword Results'!$A:$A,"Tajiks",'Keyword Results'!$E:$E)</f>
        <v>1</v>
      </c>
      <c r="D126" s="3">
        <f>SUMIF('Keyword Results'!$A:$A,"Tajiks",'Keyword Results'!$F:$F)</f>
        <v>0</v>
      </c>
      <c r="E126" s="3">
        <f>SUMIF('Keyword Results'!$A:$A,"Tajiks",'Keyword Results'!$G:$G)</f>
        <v>0</v>
      </c>
      <c r="F126" s="3">
        <f>SUMIF('Keyword Results'!$A:$A,"Tajiks",'Keyword Results'!$H:$H)</f>
        <v>0</v>
      </c>
      <c r="G126" s="3">
        <f>SUMIF('Keyword Results'!$A:$A,"Tajiks",'Keyword Results'!$I:$I)</f>
        <v>0</v>
      </c>
      <c r="H126" s="3">
        <f>SUMIF('Keyword Results'!$A:$A,"Tajiks",'Keyword Results'!$J:$J)</f>
        <v>0</v>
      </c>
      <c r="I126" s="3">
        <f>SUMIF('Keyword Results'!$A:$A,"Tajiks",'Keyword Results'!$K:$K)</f>
        <v>0</v>
      </c>
      <c r="J126" s="3">
        <f>SUMIF('Keyword Results'!$A:$A,"Tajiks",'Keyword Results'!$L:$L)</f>
        <v>0</v>
      </c>
      <c r="K126" s="3">
        <f>SUMIF('Keyword Results'!$A:$A,"Tajiks",'Keyword Results'!$M:$M)</f>
        <v>0</v>
      </c>
      <c r="L126" s="3">
        <f>SUMIF('Keyword Results'!$A:$A,"Tajiks",'Keyword Results'!$N:$N)</f>
        <v>0</v>
      </c>
      <c r="M126" s="3">
        <f>SUMIF('Keyword Results'!$A:$A,"Tajiks",'Keyword Results'!$O:$O)</f>
        <v>0</v>
      </c>
      <c r="N126" s="3">
        <f>SUMIF('Keyword Results'!$A:$A,"Tajiks",'Keyword Results'!$P:$P)</f>
        <v>0</v>
      </c>
      <c r="O126" s="3">
        <f>SUMIF('Keyword Results'!$A:$A,"Tajiks",'Keyword Results'!$Q:$Q)</f>
        <v>0</v>
      </c>
      <c r="P126" s="3">
        <f>SUMIF('Keyword Results'!$A:$A,"Tajiks",'Keyword Results'!$R:$R)</f>
        <v>0</v>
      </c>
      <c r="Q126" s="3">
        <f>SUMIF('Keyword Results'!$A:$A,"Tajiks",'Keyword Results'!$S:$S)</f>
        <v>0</v>
      </c>
      <c r="R126" s="3">
        <f>SUMIF('Keyword Results'!$A:$A,"Tajiks",'Keyword Results'!$T:$T)</f>
        <v>0</v>
      </c>
      <c r="S126" s="3">
        <f>SUMIF('Keyword Results'!$A:$A,"Tajiks",'Keyword Results'!$U:$U)</f>
        <v>0</v>
      </c>
      <c r="T126" s="3">
        <f>SUMIF('Keyword Results'!$A:$A,"Tajiks",'Keyword Results'!$V:$V)</f>
        <v>0</v>
      </c>
      <c r="U126" s="3">
        <f>SUMIF('Keyword Results'!$A:$A,"Tajiks",'Keyword Results'!$W:$W)</f>
        <v>0</v>
      </c>
      <c r="V126" s="3">
        <f>SUMIF('Keyword Results'!$A:$A,"Tajiks",'Keyword Results'!$X:$X)</f>
        <v>0</v>
      </c>
      <c r="W126" s="3">
        <f t="shared" si="1"/>
        <v>1</v>
      </c>
    </row>
    <row r="127" spans="1:23" x14ac:dyDescent="0.2">
      <c r="A127" s="2" t="s">
        <v>154</v>
      </c>
      <c r="B127" s="3">
        <f>SUMIF('Keyword Results'!$A:$A,"Thai_people",'Keyword Results'!$D:$D)</f>
        <v>7</v>
      </c>
      <c r="C127" s="3">
        <f>SUMIF('Keyword Results'!$A:$A,"Thai_people",'Keyword Results'!$E:$E)</f>
        <v>1</v>
      </c>
      <c r="D127" s="3">
        <f>SUMIF('Keyword Results'!$A:$A,"Thai_people",'Keyword Results'!$F:$F)</f>
        <v>0</v>
      </c>
      <c r="E127" s="3">
        <f>SUMIF('Keyword Results'!$A:$A,"Thai_people",'Keyword Results'!$G:$G)</f>
        <v>0</v>
      </c>
      <c r="F127" s="3">
        <f>SUMIF('Keyword Results'!$A:$A,"Thai_people",'Keyword Results'!$H:$H)</f>
        <v>0</v>
      </c>
      <c r="G127" s="3">
        <f>SUMIF('Keyword Results'!$A:$A,"Thai_people",'Keyword Results'!$I:$I)</f>
        <v>0</v>
      </c>
      <c r="H127" s="3">
        <f>SUMIF('Keyword Results'!$A:$A,"Thai_people",'Keyword Results'!$J:$J)</f>
        <v>0</v>
      </c>
      <c r="I127" s="3">
        <f>SUMIF('Keyword Results'!$A:$A,"Thai_people",'Keyword Results'!$K:$K)</f>
        <v>0</v>
      </c>
      <c r="J127" s="3">
        <f>SUMIF('Keyword Results'!$A:$A,"Thai_people",'Keyword Results'!$L:$L)</f>
        <v>0</v>
      </c>
      <c r="K127" s="3">
        <f>SUMIF('Keyword Results'!$A:$A,"Thai_people",'Keyword Results'!$M:$M)</f>
        <v>0</v>
      </c>
      <c r="L127" s="3">
        <f>SUMIF('Keyword Results'!$A:$A,"Thai_people",'Keyword Results'!$N:$N)</f>
        <v>0</v>
      </c>
      <c r="M127" s="3">
        <f>SUMIF('Keyword Results'!$A:$A,"Thai_people",'Keyword Results'!$O:$O)</f>
        <v>0</v>
      </c>
      <c r="N127" s="3">
        <f>SUMIF('Keyword Results'!$A:$A,"Thai_people",'Keyword Results'!$P:$P)</f>
        <v>0</v>
      </c>
      <c r="O127" s="3">
        <f>SUMIF('Keyword Results'!$A:$A,"Thai_people",'Keyword Results'!$Q:$Q)</f>
        <v>0</v>
      </c>
      <c r="P127" s="3">
        <f>SUMIF('Keyword Results'!$A:$A,"Thai_people",'Keyword Results'!$R:$R)</f>
        <v>0</v>
      </c>
      <c r="Q127" s="3">
        <f>SUMIF('Keyword Results'!$A:$A,"Thai_people",'Keyword Results'!$S:$S)</f>
        <v>0</v>
      </c>
      <c r="R127" s="3">
        <f>SUMIF('Keyword Results'!$A:$A,"Thai_people",'Keyword Results'!$T:$T)</f>
        <v>0</v>
      </c>
      <c r="S127" s="3">
        <f>SUMIF('Keyword Results'!$A:$A,"Thai_people",'Keyword Results'!$U:$U)</f>
        <v>0</v>
      </c>
      <c r="T127" s="3">
        <f>SUMIF('Keyword Results'!$A:$A,"Thai_people",'Keyword Results'!$V:$V)</f>
        <v>0</v>
      </c>
      <c r="U127" s="3">
        <f>SUMIF('Keyword Results'!$A:$A,"Thai_people",'Keyword Results'!$W:$W)</f>
        <v>0</v>
      </c>
      <c r="V127" s="3">
        <f>SUMIF('Keyword Results'!$A:$A,"Thai_people",'Keyword Results'!$X:$X)</f>
        <v>0</v>
      </c>
      <c r="W127" s="3">
        <f t="shared" si="1"/>
        <v>1</v>
      </c>
    </row>
    <row r="128" spans="1:23" x14ac:dyDescent="0.2">
      <c r="A128" s="2" t="s">
        <v>155</v>
      </c>
      <c r="B128" s="3">
        <f>SUMIF('Keyword Results'!$A:$A,"Trinidadians_and_Tobagonians",'Keyword Results'!$D:$D)</f>
        <v>9</v>
      </c>
      <c r="C128" s="3">
        <f>SUMIF('Keyword Results'!$A:$A,"Trinidadians_and_Tobagonians",'Keyword Results'!$E:$E)</f>
        <v>0</v>
      </c>
      <c r="D128" s="3">
        <f>SUMIF('Keyword Results'!$A:$A,"Trinidadians_and_Tobagonians",'Keyword Results'!$F:$F)</f>
        <v>0</v>
      </c>
      <c r="E128" s="3">
        <f>SUMIF('Keyword Results'!$A:$A,"Trinidadians_and_Tobagonians",'Keyword Results'!$G:$G)</f>
        <v>0</v>
      </c>
      <c r="F128" s="3">
        <f>SUMIF('Keyword Results'!$A:$A,"Trinidadians_and_Tobagonians",'Keyword Results'!$H:$H)</f>
        <v>0</v>
      </c>
      <c r="G128" s="3">
        <f>SUMIF('Keyword Results'!$A:$A,"Trinidadians_and_Tobagonians",'Keyword Results'!$I:$I)</f>
        <v>0</v>
      </c>
      <c r="H128" s="3">
        <f>SUMIF('Keyword Results'!$A:$A,"Trinidadians_and_Tobagonians",'Keyword Results'!$J:$J)</f>
        <v>0</v>
      </c>
      <c r="I128" s="3">
        <f>SUMIF('Keyword Results'!$A:$A,"Trinidadians_and_Tobagonians",'Keyword Results'!$K:$K)</f>
        <v>0</v>
      </c>
      <c r="J128" s="3">
        <f>SUMIF('Keyword Results'!$A:$A,"Trinidadians_and_Tobagonians",'Keyword Results'!$L:$L)</f>
        <v>0</v>
      </c>
      <c r="K128" s="3">
        <f>SUMIF('Keyword Results'!$A:$A,"Trinidadians_and_Tobagonians",'Keyword Results'!$M:$M)</f>
        <v>0</v>
      </c>
      <c r="L128" s="3">
        <f>SUMIF('Keyword Results'!$A:$A,"Trinidadians_and_Tobagonians",'Keyword Results'!$N:$N)</f>
        <v>0</v>
      </c>
      <c r="M128" s="3">
        <f>SUMIF('Keyword Results'!$A:$A,"Trinidadians_and_Tobagonians",'Keyword Results'!$O:$O)</f>
        <v>0</v>
      </c>
      <c r="N128" s="3">
        <f>SUMIF('Keyword Results'!$A:$A,"Trinidadians_and_Tobagonians",'Keyword Results'!$P:$P)</f>
        <v>0</v>
      </c>
      <c r="O128" s="3">
        <f>SUMIF('Keyword Results'!$A:$A,"Trinidadians_and_Tobagonians",'Keyword Results'!$Q:$Q)</f>
        <v>0</v>
      </c>
      <c r="P128" s="3">
        <f>SUMIF('Keyword Results'!$A:$A,"Trinidadians_and_Tobagonians",'Keyword Results'!$R:$R)</f>
        <v>0</v>
      </c>
      <c r="Q128" s="3">
        <f>SUMIF('Keyword Results'!$A:$A,"Trinidadians_and_Tobagonians",'Keyword Results'!$S:$S)</f>
        <v>0</v>
      </c>
      <c r="R128" s="3">
        <f>SUMIF('Keyword Results'!$A:$A,"Trinidadians_and_Tobagonians",'Keyword Results'!$T:$T)</f>
        <v>0</v>
      </c>
      <c r="S128" s="3">
        <f>SUMIF('Keyword Results'!$A:$A,"Trinidadians_and_Tobagonians",'Keyword Results'!$U:$U)</f>
        <v>0</v>
      </c>
      <c r="T128" s="3">
        <f>SUMIF('Keyword Results'!$A:$A,"Trinidadians_and_Tobagonians",'Keyword Results'!$V:$V)</f>
        <v>0</v>
      </c>
      <c r="U128" s="3">
        <f>SUMIF('Keyword Results'!$A:$A,"Trinidadians_and_Tobagonians",'Keyword Results'!$W:$W)</f>
        <v>0</v>
      </c>
      <c r="V128" s="3">
        <f>SUMIF('Keyword Results'!$A:$A,"Trinidadians_and_Tobagonians",'Keyword Results'!$X:$X)</f>
        <v>0</v>
      </c>
      <c r="W128" s="3">
        <f t="shared" si="1"/>
        <v>0</v>
      </c>
    </row>
    <row r="129" spans="1:23" x14ac:dyDescent="0.2">
      <c r="A129" s="2" t="s">
        <v>156</v>
      </c>
      <c r="B129" s="3">
        <f>SUMIF('Keyword Results'!$A:$A,"Tunisians",'Keyword Results'!$D:$D)</f>
        <v>10</v>
      </c>
      <c r="C129" s="3">
        <f>SUMIF('Keyword Results'!$A:$A,"Tunisians",'Keyword Results'!$E:$E)</f>
        <v>2</v>
      </c>
      <c r="D129" s="3">
        <f>SUMIF('Keyword Results'!$A:$A,"Tunisians",'Keyword Results'!$F:$F)</f>
        <v>0</v>
      </c>
      <c r="E129" s="3">
        <f>SUMIF('Keyword Results'!$A:$A,"Tunisians",'Keyword Results'!$G:$G)</f>
        <v>0</v>
      </c>
      <c r="F129" s="3">
        <f>SUMIF('Keyword Results'!$A:$A,"Tunisians",'Keyword Results'!$H:$H)</f>
        <v>0</v>
      </c>
      <c r="G129" s="3">
        <f>SUMIF('Keyword Results'!$A:$A,"Tunisians",'Keyword Results'!$I:$I)</f>
        <v>0</v>
      </c>
      <c r="H129" s="3">
        <f>SUMIF('Keyword Results'!$A:$A,"Tunisians",'Keyword Results'!$J:$J)</f>
        <v>0</v>
      </c>
      <c r="I129" s="3">
        <f>SUMIF('Keyword Results'!$A:$A,"Tunisians",'Keyword Results'!$K:$K)</f>
        <v>0</v>
      </c>
      <c r="J129" s="3">
        <f>SUMIF('Keyword Results'!$A:$A,"Tunisians",'Keyword Results'!$L:$L)</f>
        <v>0</v>
      </c>
      <c r="K129" s="3">
        <f>SUMIF('Keyword Results'!$A:$A,"Tunisians",'Keyword Results'!$M:$M)</f>
        <v>0</v>
      </c>
      <c r="L129" s="3">
        <f>SUMIF('Keyword Results'!$A:$A,"Tunisians",'Keyword Results'!$N:$N)</f>
        <v>0</v>
      </c>
      <c r="M129" s="3">
        <f>SUMIF('Keyword Results'!$A:$A,"Tunisians",'Keyword Results'!$O:$O)</f>
        <v>0</v>
      </c>
      <c r="N129" s="3">
        <f>SUMIF('Keyword Results'!$A:$A,"Tunisians",'Keyword Results'!$P:$P)</f>
        <v>0</v>
      </c>
      <c r="O129" s="3">
        <f>SUMIF('Keyword Results'!$A:$A,"Tunisians",'Keyword Results'!$Q:$Q)</f>
        <v>0</v>
      </c>
      <c r="P129" s="3">
        <f>SUMIF('Keyword Results'!$A:$A,"Tunisians",'Keyword Results'!$R:$R)</f>
        <v>0</v>
      </c>
      <c r="Q129" s="3">
        <f>SUMIF('Keyword Results'!$A:$A,"Tunisians",'Keyword Results'!$S:$S)</f>
        <v>0</v>
      </c>
      <c r="R129" s="3">
        <f>SUMIF('Keyword Results'!$A:$A,"Tunisians",'Keyword Results'!$T:$T)</f>
        <v>0</v>
      </c>
      <c r="S129" s="3">
        <f>SUMIF('Keyword Results'!$A:$A,"Tunisians",'Keyword Results'!$U:$U)</f>
        <v>0</v>
      </c>
      <c r="T129" s="3">
        <f>SUMIF('Keyword Results'!$A:$A,"Tunisians",'Keyword Results'!$V:$V)</f>
        <v>0</v>
      </c>
      <c r="U129" s="3">
        <f>SUMIF('Keyword Results'!$A:$A,"Tunisians",'Keyword Results'!$W:$W)</f>
        <v>0</v>
      </c>
      <c r="V129" s="3">
        <f>SUMIF('Keyword Results'!$A:$A,"Tunisians",'Keyword Results'!$X:$X)</f>
        <v>0</v>
      </c>
      <c r="W129" s="3">
        <f t="shared" si="1"/>
        <v>2</v>
      </c>
    </row>
    <row r="130" spans="1:23" x14ac:dyDescent="0.2">
      <c r="A130" s="2" t="s">
        <v>157</v>
      </c>
      <c r="B130" s="3">
        <f>SUMIF('Keyword Results'!$A:$A,"Turkish_people",'Keyword Results'!$D:$D)</f>
        <v>11</v>
      </c>
      <c r="C130" s="3">
        <f>SUMIF('Keyword Results'!$A:$A,"Turkish_people",'Keyword Results'!$E:$E)</f>
        <v>2</v>
      </c>
      <c r="D130" s="3">
        <f>SUMIF('Keyword Results'!$A:$A,"Turkish_people",'Keyword Results'!$F:$F)</f>
        <v>0</v>
      </c>
      <c r="E130" s="3">
        <f>SUMIF('Keyword Results'!$A:$A,"Turkish_people",'Keyword Results'!$G:$G)</f>
        <v>0</v>
      </c>
      <c r="F130" s="3">
        <f>SUMIF('Keyword Results'!$A:$A,"Turkish_people",'Keyword Results'!$H:$H)</f>
        <v>0</v>
      </c>
      <c r="G130" s="3">
        <f>SUMIF('Keyword Results'!$A:$A,"Turkish_people",'Keyword Results'!$I:$I)</f>
        <v>0</v>
      </c>
      <c r="H130" s="3">
        <f>SUMIF('Keyword Results'!$A:$A,"Turkish_people",'Keyword Results'!$J:$J)</f>
        <v>0</v>
      </c>
      <c r="I130" s="3">
        <f>SUMIF('Keyword Results'!$A:$A,"Turkish_people",'Keyword Results'!$K:$K)</f>
        <v>0</v>
      </c>
      <c r="J130" s="3">
        <f>SUMIF('Keyword Results'!$A:$A,"Turkish_people",'Keyword Results'!$L:$L)</f>
        <v>0</v>
      </c>
      <c r="K130" s="3">
        <f>SUMIF('Keyword Results'!$A:$A,"Turkish_people",'Keyword Results'!$M:$M)</f>
        <v>0</v>
      </c>
      <c r="L130" s="3">
        <f>SUMIF('Keyword Results'!$A:$A,"Turkish_people",'Keyword Results'!$N:$N)</f>
        <v>0</v>
      </c>
      <c r="M130" s="3">
        <f>SUMIF('Keyword Results'!$A:$A,"Turkish_people",'Keyword Results'!$O:$O)</f>
        <v>0</v>
      </c>
      <c r="N130" s="3">
        <f>SUMIF('Keyword Results'!$A:$A,"Turkish_people",'Keyword Results'!$P:$P)</f>
        <v>0</v>
      </c>
      <c r="O130" s="3">
        <f>SUMIF('Keyword Results'!$A:$A,"Turkish_people",'Keyword Results'!$Q:$Q)</f>
        <v>0</v>
      </c>
      <c r="P130" s="3">
        <f>SUMIF('Keyword Results'!$A:$A,"Turkish_people",'Keyword Results'!$R:$R)</f>
        <v>0</v>
      </c>
      <c r="Q130" s="3">
        <f>SUMIF('Keyword Results'!$A:$A,"Turkish_people",'Keyword Results'!$S:$S)</f>
        <v>0</v>
      </c>
      <c r="R130" s="3">
        <f>SUMIF('Keyword Results'!$A:$A,"Turkish_people",'Keyword Results'!$T:$T)</f>
        <v>0</v>
      </c>
      <c r="S130" s="3">
        <f>SUMIF('Keyword Results'!$A:$A,"Turkish_people",'Keyword Results'!$U:$U)</f>
        <v>0</v>
      </c>
      <c r="T130" s="3">
        <f>SUMIF('Keyword Results'!$A:$A,"Turkish_people",'Keyword Results'!$V:$V)</f>
        <v>0</v>
      </c>
      <c r="U130" s="3">
        <f>SUMIF('Keyword Results'!$A:$A,"Turkish_people",'Keyword Results'!$W:$W)</f>
        <v>0</v>
      </c>
      <c r="V130" s="3">
        <f>SUMIF('Keyword Results'!$A:$A,"Turkish_people",'Keyword Results'!$X:$X)</f>
        <v>0</v>
      </c>
      <c r="W130" s="3">
        <f t="shared" si="1"/>
        <v>2</v>
      </c>
    </row>
    <row r="131" spans="1:23" x14ac:dyDescent="0.2">
      <c r="A131" s="2" t="s">
        <v>158</v>
      </c>
      <c r="B131" s="3">
        <f>SUMIF('Keyword Results'!$A:$A,"Turkmens",'Keyword Results'!$D:$D)</f>
        <v>10</v>
      </c>
      <c r="C131" s="3">
        <f>SUMIF('Keyword Results'!$A:$A,"Turkmens",'Keyword Results'!$E:$E)</f>
        <v>0</v>
      </c>
      <c r="D131" s="3">
        <f>SUMIF('Keyword Results'!$A:$A,"Turkmens",'Keyword Results'!$F:$F)</f>
        <v>0</v>
      </c>
      <c r="E131" s="3">
        <f>SUMIF('Keyword Results'!$A:$A,"Turkmens",'Keyword Results'!$G:$G)</f>
        <v>0</v>
      </c>
      <c r="F131" s="3">
        <f>SUMIF('Keyword Results'!$A:$A,"Turkmens",'Keyword Results'!$H:$H)</f>
        <v>0</v>
      </c>
      <c r="G131" s="3">
        <f>SUMIF('Keyword Results'!$A:$A,"Turkmens",'Keyword Results'!$I:$I)</f>
        <v>0</v>
      </c>
      <c r="H131" s="3">
        <f>SUMIF('Keyword Results'!$A:$A,"Turkmens",'Keyword Results'!$J:$J)</f>
        <v>0</v>
      </c>
      <c r="I131" s="3">
        <f>SUMIF('Keyword Results'!$A:$A,"Turkmens",'Keyword Results'!$K:$K)</f>
        <v>0</v>
      </c>
      <c r="J131" s="3">
        <f>SUMIF('Keyword Results'!$A:$A,"Turkmens",'Keyword Results'!$L:$L)</f>
        <v>0</v>
      </c>
      <c r="K131" s="3">
        <f>SUMIF('Keyword Results'!$A:$A,"Turkmens",'Keyword Results'!$M:$M)</f>
        <v>0</v>
      </c>
      <c r="L131" s="3">
        <f>SUMIF('Keyword Results'!$A:$A,"Turkmens",'Keyword Results'!$N:$N)</f>
        <v>0</v>
      </c>
      <c r="M131" s="3">
        <f>SUMIF('Keyword Results'!$A:$A,"Turkmens",'Keyword Results'!$O:$O)</f>
        <v>0</v>
      </c>
      <c r="N131" s="3">
        <f>SUMIF('Keyword Results'!$A:$A,"Turkmens",'Keyword Results'!$P:$P)</f>
        <v>0</v>
      </c>
      <c r="O131" s="3">
        <f>SUMIF('Keyword Results'!$A:$A,"Turkmens",'Keyword Results'!$Q:$Q)</f>
        <v>0</v>
      </c>
      <c r="P131" s="3">
        <f>SUMIF('Keyword Results'!$A:$A,"Turkmens",'Keyword Results'!$R:$R)</f>
        <v>0</v>
      </c>
      <c r="Q131" s="3">
        <f>SUMIF('Keyword Results'!$A:$A,"Turkmens",'Keyword Results'!$S:$S)</f>
        <v>0</v>
      </c>
      <c r="R131" s="3">
        <f>SUMIF('Keyword Results'!$A:$A,"Turkmens",'Keyword Results'!$T:$T)</f>
        <v>0</v>
      </c>
      <c r="S131" s="3">
        <f>SUMIF('Keyword Results'!$A:$A,"Turkmens",'Keyword Results'!$U:$U)</f>
        <v>0</v>
      </c>
      <c r="T131" s="3">
        <f>SUMIF('Keyword Results'!$A:$A,"Turkmens",'Keyword Results'!$V:$V)</f>
        <v>0</v>
      </c>
      <c r="U131" s="3">
        <f>SUMIF('Keyword Results'!$A:$A,"Turkmens",'Keyword Results'!$W:$W)</f>
        <v>0</v>
      </c>
      <c r="V131" s="3">
        <f>SUMIF('Keyword Results'!$A:$A,"Turkmens",'Keyword Results'!$X:$X)</f>
        <v>0</v>
      </c>
      <c r="W131" s="3">
        <f t="shared" ref="W131:W138" si="2">SUM(C131:V131)</f>
        <v>0</v>
      </c>
    </row>
    <row r="132" spans="1:23" x14ac:dyDescent="0.2">
      <c r="A132" s="2" t="s">
        <v>159</v>
      </c>
      <c r="B132" s="3">
        <f>SUMIF('Keyword Results'!$A:$A,"Ukrainians",'Keyword Results'!$D:$D)</f>
        <v>7</v>
      </c>
      <c r="C132" s="3">
        <f>SUMIF('Keyword Results'!$A:$A,"Ukrainians",'Keyword Results'!$E:$E)</f>
        <v>0</v>
      </c>
      <c r="D132" s="3">
        <f>SUMIF('Keyword Results'!$A:$A,"Ukrainians",'Keyword Results'!$F:$F)</f>
        <v>0</v>
      </c>
      <c r="E132" s="3">
        <f>SUMIF('Keyword Results'!$A:$A,"Ukrainians",'Keyword Results'!$G:$G)</f>
        <v>0</v>
      </c>
      <c r="F132" s="3">
        <f>SUMIF('Keyword Results'!$A:$A,"Ukrainians",'Keyword Results'!$H:$H)</f>
        <v>0</v>
      </c>
      <c r="G132" s="3">
        <f>SUMIF('Keyword Results'!$A:$A,"Ukrainians",'Keyword Results'!$I:$I)</f>
        <v>0</v>
      </c>
      <c r="H132" s="3">
        <f>SUMIF('Keyword Results'!$A:$A,"Ukrainians",'Keyword Results'!$J:$J)</f>
        <v>0</v>
      </c>
      <c r="I132" s="3">
        <f>SUMIF('Keyword Results'!$A:$A,"Ukrainians",'Keyword Results'!$K:$K)</f>
        <v>0</v>
      </c>
      <c r="J132" s="3">
        <f>SUMIF('Keyword Results'!$A:$A,"Ukrainians",'Keyword Results'!$L:$L)</f>
        <v>0</v>
      </c>
      <c r="K132" s="3">
        <f>SUMIF('Keyword Results'!$A:$A,"Ukrainians",'Keyword Results'!$M:$M)</f>
        <v>0</v>
      </c>
      <c r="L132" s="3">
        <f>SUMIF('Keyword Results'!$A:$A,"Ukrainians",'Keyword Results'!$N:$N)</f>
        <v>0</v>
      </c>
      <c r="M132" s="3">
        <f>SUMIF('Keyword Results'!$A:$A,"Ukrainians",'Keyword Results'!$O:$O)</f>
        <v>0</v>
      </c>
      <c r="N132" s="3">
        <f>SUMIF('Keyword Results'!$A:$A,"Ukrainians",'Keyword Results'!$P:$P)</f>
        <v>0</v>
      </c>
      <c r="O132" s="3">
        <f>SUMIF('Keyword Results'!$A:$A,"Ukrainians",'Keyword Results'!$Q:$Q)</f>
        <v>0</v>
      </c>
      <c r="P132" s="3">
        <f>SUMIF('Keyword Results'!$A:$A,"Ukrainians",'Keyword Results'!$R:$R)</f>
        <v>0</v>
      </c>
      <c r="Q132" s="3">
        <f>SUMIF('Keyword Results'!$A:$A,"Ukrainians",'Keyword Results'!$S:$S)</f>
        <v>0</v>
      </c>
      <c r="R132" s="3">
        <f>SUMIF('Keyword Results'!$A:$A,"Ukrainians",'Keyword Results'!$T:$T)</f>
        <v>0</v>
      </c>
      <c r="S132" s="3">
        <f>SUMIF('Keyword Results'!$A:$A,"Ukrainians",'Keyword Results'!$U:$U)</f>
        <v>0</v>
      </c>
      <c r="T132" s="3">
        <f>SUMIF('Keyword Results'!$A:$A,"Ukrainians",'Keyword Results'!$V:$V)</f>
        <v>0</v>
      </c>
      <c r="U132" s="3">
        <f>SUMIF('Keyword Results'!$A:$A,"Ukrainians",'Keyword Results'!$W:$W)</f>
        <v>0</v>
      </c>
      <c r="V132" s="3">
        <f>SUMIF('Keyword Results'!$A:$A,"Ukrainians",'Keyword Results'!$X:$X)</f>
        <v>0</v>
      </c>
      <c r="W132" s="3">
        <f t="shared" si="2"/>
        <v>0</v>
      </c>
    </row>
    <row r="133" spans="1:23" x14ac:dyDescent="0.2">
      <c r="A133" s="2" t="s">
        <v>160</v>
      </c>
      <c r="B133" s="3">
        <f>SUMIF('Keyword Results'!$A:$A,"Uruguayans",'Keyword Results'!$D:$D)</f>
        <v>6</v>
      </c>
      <c r="C133" s="3">
        <f>SUMIF('Keyword Results'!$A:$A,"Uruguayans",'Keyword Results'!$E:$E)</f>
        <v>1</v>
      </c>
      <c r="D133" s="3">
        <f>SUMIF('Keyword Results'!$A:$A,"Uruguayans",'Keyword Results'!$F:$F)</f>
        <v>0</v>
      </c>
      <c r="E133" s="3">
        <f>SUMIF('Keyword Results'!$A:$A,"Uruguayans",'Keyword Results'!$G:$G)</f>
        <v>0</v>
      </c>
      <c r="F133" s="3">
        <f>SUMIF('Keyword Results'!$A:$A,"Uruguayans",'Keyword Results'!$H:$H)</f>
        <v>0</v>
      </c>
      <c r="G133" s="3">
        <f>SUMIF('Keyword Results'!$A:$A,"Uruguayans",'Keyword Results'!$I:$I)</f>
        <v>0</v>
      </c>
      <c r="H133" s="3">
        <f>SUMIF('Keyword Results'!$A:$A,"Uruguayans",'Keyword Results'!$J:$J)</f>
        <v>0</v>
      </c>
      <c r="I133" s="3">
        <f>SUMIF('Keyword Results'!$A:$A,"Uruguayans",'Keyword Results'!$K:$K)</f>
        <v>0</v>
      </c>
      <c r="J133" s="3">
        <f>SUMIF('Keyword Results'!$A:$A,"Uruguayans",'Keyword Results'!$L:$L)</f>
        <v>0</v>
      </c>
      <c r="K133" s="3">
        <f>SUMIF('Keyword Results'!$A:$A,"Uruguayans",'Keyword Results'!$M:$M)</f>
        <v>0</v>
      </c>
      <c r="L133" s="3">
        <f>SUMIF('Keyword Results'!$A:$A,"Uruguayans",'Keyword Results'!$N:$N)</f>
        <v>0</v>
      </c>
      <c r="M133" s="3">
        <f>SUMIF('Keyword Results'!$A:$A,"Uruguayans",'Keyword Results'!$O:$O)</f>
        <v>0</v>
      </c>
      <c r="N133" s="3">
        <f>SUMIF('Keyword Results'!$A:$A,"Uruguayans",'Keyword Results'!$P:$P)</f>
        <v>0</v>
      </c>
      <c r="O133" s="3">
        <f>SUMIF('Keyword Results'!$A:$A,"Uruguayans",'Keyword Results'!$Q:$Q)</f>
        <v>0</v>
      </c>
      <c r="P133" s="3">
        <f>SUMIF('Keyword Results'!$A:$A,"Uruguayans",'Keyword Results'!$R:$R)</f>
        <v>0</v>
      </c>
      <c r="Q133" s="3">
        <f>SUMIF('Keyword Results'!$A:$A,"Uruguayans",'Keyword Results'!$S:$S)</f>
        <v>0</v>
      </c>
      <c r="R133" s="3">
        <f>SUMIF('Keyword Results'!$A:$A,"Uruguayans",'Keyword Results'!$T:$T)</f>
        <v>0</v>
      </c>
      <c r="S133" s="3">
        <f>SUMIF('Keyword Results'!$A:$A,"Uruguayans",'Keyword Results'!$U:$U)</f>
        <v>0</v>
      </c>
      <c r="T133" s="3">
        <f>SUMIF('Keyword Results'!$A:$A,"Uruguayans",'Keyword Results'!$V:$V)</f>
        <v>0</v>
      </c>
      <c r="U133" s="3">
        <f>SUMIF('Keyword Results'!$A:$A,"Uruguayans",'Keyword Results'!$W:$W)</f>
        <v>0</v>
      </c>
      <c r="V133" s="3">
        <f>SUMIF('Keyword Results'!$A:$A,"Uruguayans",'Keyword Results'!$X:$X)</f>
        <v>0</v>
      </c>
      <c r="W133" s="3">
        <f t="shared" si="2"/>
        <v>1</v>
      </c>
    </row>
    <row r="134" spans="1:23" x14ac:dyDescent="0.2">
      <c r="A134" s="2" t="s">
        <v>161</v>
      </c>
      <c r="B134" s="3">
        <f>SUMIF('Keyword Results'!$A:$A,"Uzbeks",'Keyword Results'!$D:$D)</f>
        <v>6</v>
      </c>
      <c r="C134" s="3">
        <f>SUMIF('Keyword Results'!$A:$A,"Uzbeks",'Keyword Results'!$E:$E)</f>
        <v>1</v>
      </c>
      <c r="D134" s="3">
        <f>SUMIF('Keyword Results'!$A:$A,"Uzbeks",'Keyword Results'!$F:$F)</f>
        <v>0</v>
      </c>
      <c r="E134" s="3">
        <f>SUMIF('Keyword Results'!$A:$A,"Uzbeks",'Keyword Results'!$G:$G)</f>
        <v>0</v>
      </c>
      <c r="F134" s="3">
        <f>SUMIF('Keyword Results'!$A:$A,"Uzbeks",'Keyword Results'!$H:$H)</f>
        <v>0</v>
      </c>
      <c r="G134" s="3">
        <f>SUMIF('Keyword Results'!$A:$A,"Uzbeks",'Keyword Results'!$I:$I)</f>
        <v>0</v>
      </c>
      <c r="H134" s="3">
        <f>SUMIF('Keyword Results'!$A:$A,"Uzbeks",'Keyword Results'!$J:$J)</f>
        <v>0</v>
      </c>
      <c r="I134" s="3">
        <f>SUMIF('Keyword Results'!$A:$A,"Uzbeks",'Keyword Results'!$K:$K)</f>
        <v>0</v>
      </c>
      <c r="J134" s="3">
        <f>SUMIF('Keyword Results'!$A:$A,"Uzbeks",'Keyword Results'!$L:$L)</f>
        <v>0</v>
      </c>
      <c r="K134" s="3">
        <f>SUMIF('Keyword Results'!$A:$A,"Uzbeks",'Keyword Results'!$M:$M)</f>
        <v>0</v>
      </c>
      <c r="L134" s="3">
        <f>SUMIF('Keyword Results'!$A:$A,"Uzbeks",'Keyword Results'!$N:$N)</f>
        <v>0</v>
      </c>
      <c r="M134" s="3">
        <f>SUMIF('Keyword Results'!$A:$A,"Uzbeks",'Keyword Results'!$O:$O)</f>
        <v>0</v>
      </c>
      <c r="N134" s="3">
        <f>SUMIF('Keyword Results'!$A:$A,"Uzbeks",'Keyword Results'!$P:$P)</f>
        <v>0</v>
      </c>
      <c r="O134" s="3">
        <f>SUMIF('Keyword Results'!$A:$A,"Uzbeks",'Keyword Results'!$Q:$Q)</f>
        <v>0</v>
      </c>
      <c r="P134" s="3">
        <f>SUMIF('Keyword Results'!$A:$A,"Uzbeks",'Keyword Results'!$R:$R)</f>
        <v>0</v>
      </c>
      <c r="Q134" s="3">
        <f>SUMIF('Keyword Results'!$A:$A,"Uzbeks",'Keyword Results'!$S:$S)</f>
        <v>0</v>
      </c>
      <c r="R134" s="3">
        <f>SUMIF('Keyword Results'!$A:$A,"Uzbeks",'Keyword Results'!$T:$T)</f>
        <v>0</v>
      </c>
      <c r="S134" s="3">
        <f>SUMIF('Keyword Results'!$A:$A,"Uzbeks",'Keyword Results'!$U:$U)</f>
        <v>0</v>
      </c>
      <c r="T134" s="3">
        <f>SUMIF('Keyword Results'!$A:$A,"Uzbeks",'Keyword Results'!$V:$V)</f>
        <v>0</v>
      </c>
      <c r="U134" s="3">
        <f>SUMIF('Keyword Results'!$A:$A,"Uzbeks",'Keyword Results'!$W:$W)</f>
        <v>0</v>
      </c>
      <c r="V134" s="3">
        <f>SUMIF('Keyword Results'!$A:$A,"Uzbeks",'Keyword Results'!$X:$X)</f>
        <v>0</v>
      </c>
      <c r="W134" s="3">
        <f t="shared" si="2"/>
        <v>1</v>
      </c>
    </row>
    <row r="135" spans="1:23" x14ac:dyDescent="0.2">
      <c r="A135" s="2" t="s">
        <v>162</v>
      </c>
      <c r="B135" s="3">
        <f>SUMIF('Keyword Results'!$A:$A,"Venezuelans",'Keyword Results'!$D:$D)</f>
        <v>10</v>
      </c>
      <c r="C135" s="3">
        <f>SUMIF('Keyword Results'!$A:$A,"Venezuelans",'Keyword Results'!$E:$E)</f>
        <v>0</v>
      </c>
      <c r="D135" s="3">
        <f>SUMIF('Keyword Results'!$A:$A,"Venezuelans",'Keyword Results'!$F:$F)</f>
        <v>0</v>
      </c>
      <c r="E135" s="3">
        <f>SUMIF('Keyword Results'!$A:$A,"Venezuelans",'Keyword Results'!$G:$G)</f>
        <v>0</v>
      </c>
      <c r="F135" s="3">
        <f>SUMIF('Keyword Results'!$A:$A,"Venezuelans",'Keyword Results'!$H:$H)</f>
        <v>0</v>
      </c>
      <c r="G135" s="3">
        <f>SUMIF('Keyword Results'!$A:$A,"Venezuelans",'Keyword Results'!$I:$I)</f>
        <v>0</v>
      </c>
      <c r="H135" s="3">
        <f>SUMIF('Keyword Results'!$A:$A,"Venezuelans",'Keyword Results'!$J:$J)</f>
        <v>0</v>
      </c>
      <c r="I135" s="3">
        <f>SUMIF('Keyword Results'!$A:$A,"Venezuelans",'Keyword Results'!$K:$K)</f>
        <v>0</v>
      </c>
      <c r="J135" s="3">
        <f>SUMIF('Keyword Results'!$A:$A,"Venezuelans",'Keyword Results'!$L:$L)</f>
        <v>0</v>
      </c>
      <c r="K135" s="3">
        <f>SUMIF('Keyword Results'!$A:$A,"Venezuelans",'Keyword Results'!$M:$M)</f>
        <v>0</v>
      </c>
      <c r="L135" s="3">
        <f>SUMIF('Keyword Results'!$A:$A,"Venezuelans",'Keyword Results'!$N:$N)</f>
        <v>0</v>
      </c>
      <c r="M135" s="3">
        <f>SUMIF('Keyword Results'!$A:$A,"Venezuelans",'Keyword Results'!$O:$O)</f>
        <v>0</v>
      </c>
      <c r="N135" s="3">
        <f>SUMIF('Keyword Results'!$A:$A,"Venezuelans",'Keyword Results'!$P:$P)</f>
        <v>0</v>
      </c>
      <c r="O135" s="3">
        <f>SUMIF('Keyword Results'!$A:$A,"Venezuelans",'Keyword Results'!$Q:$Q)</f>
        <v>0</v>
      </c>
      <c r="P135" s="3">
        <f>SUMIF('Keyword Results'!$A:$A,"Venezuelans",'Keyword Results'!$R:$R)</f>
        <v>0</v>
      </c>
      <c r="Q135" s="3">
        <f>SUMIF('Keyword Results'!$A:$A,"Venezuelans",'Keyword Results'!$S:$S)</f>
        <v>0</v>
      </c>
      <c r="R135" s="3">
        <f>SUMIF('Keyword Results'!$A:$A,"Venezuelans",'Keyword Results'!$T:$T)</f>
        <v>0</v>
      </c>
      <c r="S135" s="3">
        <f>SUMIF('Keyword Results'!$A:$A,"Venezuelans",'Keyword Results'!$U:$U)</f>
        <v>0</v>
      </c>
      <c r="T135" s="3">
        <f>SUMIF('Keyword Results'!$A:$A,"Venezuelans",'Keyword Results'!$V:$V)</f>
        <v>0</v>
      </c>
      <c r="U135" s="3">
        <f>SUMIF('Keyword Results'!$A:$A,"Venezuelans",'Keyword Results'!$W:$W)</f>
        <v>0</v>
      </c>
      <c r="V135" s="3">
        <f>SUMIF('Keyword Results'!$A:$A,"Venezuelans",'Keyword Results'!$X:$X)</f>
        <v>0</v>
      </c>
      <c r="W135" s="3">
        <f t="shared" si="2"/>
        <v>0</v>
      </c>
    </row>
    <row r="136" spans="1:23" x14ac:dyDescent="0.2">
      <c r="A136" s="2" t="s">
        <v>163</v>
      </c>
      <c r="B136" s="3">
        <f>SUMIF('Keyword Results'!$A:$A,"Vietnamese_people",'Keyword Results'!$D:$D)</f>
        <v>3</v>
      </c>
      <c r="C136" s="3">
        <f>SUMIF('Keyword Results'!$A:$A,"Vietnamese_people",'Keyword Results'!$E:$E)</f>
        <v>1</v>
      </c>
      <c r="D136" s="3">
        <f>SUMIF('Keyword Results'!$A:$A,"Vietnamese_people",'Keyword Results'!$F:$F)</f>
        <v>0</v>
      </c>
      <c r="E136" s="3">
        <f>SUMIF('Keyword Results'!$A:$A,"Vietnamese_people",'Keyword Results'!$G:$G)</f>
        <v>0</v>
      </c>
      <c r="F136" s="3">
        <f>SUMIF('Keyword Results'!$A:$A,"Vietnamese_people",'Keyword Results'!$H:$H)</f>
        <v>0</v>
      </c>
      <c r="G136" s="3">
        <f>SUMIF('Keyword Results'!$A:$A,"Vietnamese_people",'Keyword Results'!$I:$I)</f>
        <v>0</v>
      </c>
      <c r="H136" s="3">
        <f>SUMIF('Keyword Results'!$A:$A,"Vietnamese_people",'Keyword Results'!$J:$J)</f>
        <v>0</v>
      </c>
      <c r="I136" s="3">
        <f>SUMIF('Keyword Results'!$A:$A,"Vietnamese_people",'Keyword Results'!$K:$K)</f>
        <v>0</v>
      </c>
      <c r="J136" s="3">
        <f>SUMIF('Keyword Results'!$A:$A,"Vietnamese_people",'Keyword Results'!$L:$L)</f>
        <v>0</v>
      </c>
      <c r="K136" s="3">
        <f>SUMIF('Keyword Results'!$A:$A,"Vietnamese_people",'Keyword Results'!$M:$M)</f>
        <v>0</v>
      </c>
      <c r="L136" s="3">
        <f>SUMIF('Keyword Results'!$A:$A,"Vietnamese_people",'Keyword Results'!$N:$N)</f>
        <v>0</v>
      </c>
      <c r="M136" s="3">
        <f>SUMIF('Keyword Results'!$A:$A,"Vietnamese_people",'Keyword Results'!$O:$O)</f>
        <v>0</v>
      </c>
      <c r="N136" s="3">
        <f>SUMIF('Keyword Results'!$A:$A,"Vietnamese_people",'Keyword Results'!$P:$P)</f>
        <v>0</v>
      </c>
      <c r="O136" s="3">
        <f>SUMIF('Keyword Results'!$A:$A,"Vietnamese_people",'Keyword Results'!$Q:$Q)</f>
        <v>0</v>
      </c>
      <c r="P136" s="3">
        <f>SUMIF('Keyword Results'!$A:$A,"Vietnamese_people",'Keyword Results'!$R:$R)</f>
        <v>0</v>
      </c>
      <c r="Q136" s="3">
        <f>SUMIF('Keyword Results'!$A:$A,"Vietnamese_people",'Keyword Results'!$S:$S)</f>
        <v>0</v>
      </c>
      <c r="R136" s="3">
        <f>SUMIF('Keyword Results'!$A:$A,"Vietnamese_people",'Keyword Results'!$T:$T)</f>
        <v>0</v>
      </c>
      <c r="S136" s="3">
        <f>SUMIF('Keyword Results'!$A:$A,"Vietnamese_people",'Keyword Results'!$U:$U)</f>
        <v>0</v>
      </c>
      <c r="T136" s="3">
        <f>SUMIF('Keyword Results'!$A:$A,"Vietnamese_people",'Keyword Results'!$V:$V)</f>
        <v>0</v>
      </c>
      <c r="U136" s="3">
        <f>SUMIF('Keyword Results'!$A:$A,"Vietnamese_people",'Keyword Results'!$W:$W)</f>
        <v>0</v>
      </c>
      <c r="V136" s="3">
        <f>SUMIF('Keyword Results'!$A:$A,"Vietnamese_people",'Keyword Results'!$X:$X)</f>
        <v>0</v>
      </c>
      <c r="W136" s="3">
        <f t="shared" si="2"/>
        <v>1</v>
      </c>
    </row>
    <row r="137" spans="1:23" x14ac:dyDescent="0.2">
      <c r="A137" s="2" t="s">
        <v>164</v>
      </c>
      <c r="B137" s="3">
        <f>SUMIF('Keyword Results'!$A:$A,"Welsh_people",'Keyword Results'!$D:$D)</f>
        <v>7</v>
      </c>
      <c r="C137" s="3">
        <f>SUMIF('Keyword Results'!$A:$A,"Welsh_people",'Keyword Results'!$E:$E)</f>
        <v>0</v>
      </c>
      <c r="D137" s="3">
        <f>SUMIF('Keyword Results'!$A:$A,"Welsh_people",'Keyword Results'!$F:$F)</f>
        <v>0</v>
      </c>
      <c r="E137" s="3">
        <f>SUMIF('Keyword Results'!$A:$A,"Welsh_people",'Keyword Results'!$G:$G)</f>
        <v>0</v>
      </c>
      <c r="F137" s="3">
        <f>SUMIF('Keyword Results'!$A:$A,"Welsh_people",'Keyword Results'!$H:$H)</f>
        <v>0</v>
      </c>
      <c r="G137" s="3">
        <f>SUMIF('Keyword Results'!$A:$A,"Welsh_people",'Keyword Results'!$I:$I)</f>
        <v>0</v>
      </c>
      <c r="H137" s="3">
        <f>SUMIF('Keyword Results'!$A:$A,"Welsh_people",'Keyword Results'!$J:$J)</f>
        <v>0</v>
      </c>
      <c r="I137" s="3">
        <f>SUMIF('Keyword Results'!$A:$A,"Welsh_people",'Keyword Results'!$K:$K)</f>
        <v>0</v>
      </c>
      <c r="J137" s="3">
        <f>SUMIF('Keyword Results'!$A:$A,"Welsh_people",'Keyword Results'!$L:$L)</f>
        <v>0</v>
      </c>
      <c r="K137" s="3">
        <f>SUMIF('Keyword Results'!$A:$A,"Welsh_people",'Keyword Results'!$M:$M)</f>
        <v>0</v>
      </c>
      <c r="L137" s="3">
        <f>SUMIF('Keyword Results'!$A:$A,"Welsh_people",'Keyword Results'!$N:$N)</f>
        <v>0</v>
      </c>
      <c r="M137" s="3">
        <f>SUMIF('Keyword Results'!$A:$A,"Welsh_people",'Keyword Results'!$O:$O)</f>
        <v>0</v>
      </c>
      <c r="N137" s="3">
        <f>SUMIF('Keyword Results'!$A:$A,"Welsh_people",'Keyword Results'!$P:$P)</f>
        <v>0</v>
      </c>
      <c r="O137" s="3">
        <f>SUMIF('Keyword Results'!$A:$A,"Welsh_people",'Keyword Results'!$Q:$Q)</f>
        <v>0</v>
      </c>
      <c r="P137" s="3">
        <f>SUMIF('Keyword Results'!$A:$A,"Welsh_people",'Keyword Results'!$R:$R)</f>
        <v>0</v>
      </c>
      <c r="Q137" s="3">
        <f>SUMIF('Keyword Results'!$A:$A,"Welsh_people",'Keyword Results'!$S:$S)</f>
        <v>0</v>
      </c>
      <c r="R137" s="3">
        <f>SUMIF('Keyword Results'!$A:$A,"Welsh_people",'Keyword Results'!$T:$T)</f>
        <v>0</v>
      </c>
      <c r="S137" s="3">
        <f>SUMIF('Keyword Results'!$A:$A,"Welsh_people",'Keyword Results'!$U:$U)</f>
        <v>0</v>
      </c>
      <c r="T137" s="3">
        <f>SUMIF('Keyword Results'!$A:$A,"Welsh_people",'Keyword Results'!$V:$V)</f>
        <v>0</v>
      </c>
      <c r="U137" s="3">
        <f>SUMIF('Keyword Results'!$A:$A,"Welsh_people",'Keyword Results'!$W:$W)</f>
        <v>0</v>
      </c>
      <c r="V137" s="3">
        <f>SUMIF('Keyword Results'!$A:$A,"Welsh_people",'Keyword Results'!$X:$X)</f>
        <v>0</v>
      </c>
      <c r="W137" s="3">
        <f t="shared" si="2"/>
        <v>0</v>
      </c>
    </row>
    <row r="138" spans="1:23" x14ac:dyDescent="0.2">
      <c r="A138" s="2" t="s">
        <v>165</v>
      </c>
      <c r="B138" s="3">
        <f>SUMIF('Keyword Results'!$A:$A,"Yemenis",'Keyword Results'!$D:$D)</f>
        <v>8</v>
      </c>
      <c r="C138" s="3">
        <f>SUMIF('Keyword Results'!$A:$A,"Yemenis",'Keyword Results'!$E:$E)</f>
        <v>1</v>
      </c>
      <c r="D138" s="3">
        <f>SUMIF('Keyword Results'!$A:$A,"Yemenis",'Keyword Results'!$F:$F)</f>
        <v>0</v>
      </c>
      <c r="E138" s="3">
        <f>SUMIF('Keyword Results'!$A:$A,"Yemenis",'Keyword Results'!$G:$G)</f>
        <v>0</v>
      </c>
      <c r="F138" s="3">
        <f>SUMIF('Keyword Results'!$A:$A,"Yemenis",'Keyword Results'!$H:$H)</f>
        <v>0</v>
      </c>
      <c r="G138" s="3">
        <f>SUMIF('Keyword Results'!$A:$A,"Yemenis",'Keyword Results'!$I:$I)</f>
        <v>0</v>
      </c>
      <c r="H138" s="3">
        <f>SUMIF('Keyword Results'!$A:$A,"Yemenis",'Keyword Results'!$J:$J)</f>
        <v>0</v>
      </c>
      <c r="I138" s="3">
        <f>SUMIF('Keyword Results'!$A:$A,"Yemenis",'Keyword Results'!$K:$K)</f>
        <v>0</v>
      </c>
      <c r="J138" s="3">
        <f>SUMIF('Keyword Results'!$A:$A,"Yemenis",'Keyword Results'!$L:$L)</f>
        <v>0</v>
      </c>
      <c r="K138" s="3">
        <f>SUMIF('Keyword Results'!$A:$A,"Yemenis",'Keyword Results'!$M:$M)</f>
        <v>0</v>
      </c>
      <c r="L138" s="3">
        <f>SUMIF('Keyword Results'!$A:$A,"Yemenis",'Keyword Results'!$N:$N)</f>
        <v>0</v>
      </c>
      <c r="M138" s="3">
        <f>SUMIF('Keyword Results'!$A:$A,"Yemenis",'Keyword Results'!$O:$O)</f>
        <v>0</v>
      </c>
      <c r="N138" s="3">
        <f>SUMIF('Keyword Results'!$A:$A,"Yemenis",'Keyword Results'!$P:$P)</f>
        <v>0</v>
      </c>
      <c r="O138" s="3">
        <f>SUMIF('Keyword Results'!$A:$A,"Yemenis",'Keyword Results'!$Q:$Q)</f>
        <v>0</v>
      </c>
      <c r="P138" s="3">
        <f>SUMIF('Keyword Results'!$A:$A,"Yemenis",'Keyword Results'!$R:$R)</f>
        <v>0</v>
      </c>
      <c r="Q138" s="3">
        <f>SUMIF('Keyword Results'!$A:$A,"Yemenis",'Keyword Results'!$S:$S)</f>
        <v>0</v>
      </c>
      <c r="R138" s="3">
        <f>SUMIF('Keyword Results'!$A:$A,"Yemenis",'Keyword Results'!$T:$T)</f>
        <v>0</v>
      </c>
      <c r="S138" s="3">
        <f>SUMIF('Keyword Results'!$A:$A,"Yemenis",'Keyword Results'!$U:$U)</f>
        <v>0</v>
      </c>
      <c r="T138" s="3">
        <f>SUMIF('Keyword Results'!$A:$A,"Yemenis",'Keyword Results'!$V:$V)</f>
        <v>0</v>
      </c>
      <c r="U138" s="3">
        <f>SUMIF('Keyword Results'!$A:$A,"Yemenis",'Keyword Results'!$W:$W)</f>
        <v>0</v>
      </c>
      <c r="V138" s="3">
        <f>SUMIF('Keyword Results'!$A:$A,"Yemenis",'Keyword Results'!$X:$X)</f>
        <v>0</v>
      </c>
      <c r="W138" s="3">
        <f t="shared" si="2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Keyword Results</vt:lpstr>
      <vt:lpstr>Filtered Keywords</vt:lpstr>
      <vt:lpstr>LLM Analysis</vt:lpstr>
      <vt:lpstr>Demonym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Sophia C Davis</cp:lastModifiedBy>
  <dcterms:created xsi:type="dcterms:W3CDTF">2026-04-15T23:09:15Z</dcterms:created>
  <dcterms:modified xsi:type="dcterms:W3CDTF">2026-04-15T23:29:37Z</dcterms:modified>
</cp:coreProperties>
</file>